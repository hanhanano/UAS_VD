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Kuliah\Sem 6\VisualData\UAS_VD\literatur_dan_data\data\"/>
    </mc:Choice>
  </mc:AlternateContent>
  <xr:revisionPtr revIDLastSave="0" documentId="13_ncr:1_{E236C21E-CB03-45BC-8DA3-1F95ADD3A15A}" xr6:coauthVersionLast="47" xr6:coauthVersionMax="47" xr10:uidLastSave="{00000000-0000-0000-0000-000000000000}"/>
  <bookViews>
    <workbookView xWindow="-108" yWindow="-108" windowWidth="23256" windowHeight="14616" firstSheet="1" activeTab="1" xr2:uid="{00000000-000D-0000-FFFF-FFFF00000000}"/>
  </bookViews>
  <sheets>
    <sheet name="PANDUAN" sheetId="1" r:id="rId1"/>
    <sheet name="METADATA_SOURCES" sheetId="2" r:id="rId2"/>
    <sheet name="CODEBOOK" sheetId="3" r:id="rId3"/>
    <sheet name="FLOW_OD" sheetId="4" r:id="rId4"/>
    <sheet name="MULTIVARIAT_PROVINSI" sheetId="5" r:id="rId5"/>
    <sheet name="GEO_KABKOTA" sheetId="6" r:id="rId6"/>
    <sheet name="KOMUTER_JABODETABEK" sheetId="7" r:id="rId7"/>
    <sheet name="FLOW_JAKARTA" sheetId="8" r:id="rId8"/>
    <sheet name="NETWORK_EDGES" sheetId="9" r:id="rId9"/>
  </sheets>
  <definedNames>
    <definedName name="_xlnm._FilterDatabase" localSheetId="6" hidden="1">KOMUTER_JABODETABEK!$A$1:$F$1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2" i="4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2" i="7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2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2" i="5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2" i="4"/>
</calcChain>
</file>

<file path=xl/sharedStrings.xml><?xml version="1.0" encoding="utf-8"?>
<sst xmlns="http://schemas.openxmlformats.org/spreadsheetml/2006/main" count="5718" uniqueCount="735">
  <si>
    <t>Tujuan template</t>
  </si>
  <si>
    <t>Data utama</t>
  </si>
  <si>
    <t>Periode utama</t>
  </si>
  <si>
    <t>INPUT 1</t>
  </si>
  <si>
    <t>INPUT 2</t>
  </si>
  <si>
    <t>INPUT 3</t>
  </si>
  <si>
    <t>INPUT 4 (opsional)</t>
  </si>
  <si>
    <t>DERIVED</t>
  </si>
  <si>
    <t>BATAS WILAYAH</t>
  </si>
  <si>
    <t>CODEBOOK</t>
  </si>
  <si>
    <t>ID_Sumber</t>
  </si>
  <si>
    <t>Topik/Sheet</t>
  </si>
  <si>
    <t>Judul Tabel/Publikasi</t>
  </si>
  <si>
    <t>Instansi</t>
  </si>
  <si>
    <t>Periode</t>
  </si>
  <si>
    <t>URL</t>
  </si>
  <si>
    <t>Tanggal_Akses</t>
  </si>
  <si>
    <t>Definisi/Catatan</t>
  </si>
  <si>
    <t>SRC001</t>
  </si>
  <si>
    <t>FLOW_OD</t>
  </si>
  <si>
    <t>BPS</t>
  </si>
  <si>
    <t>Sheet</t>
  </si>
  <si>
    <t>Nama_Variabel</t>
  </si>
  <si>
    <t>Definisi</t>
  </si>
  <si>
    <t>Satuan</t>
  </si>
  <si>
    <t>Tipe_Data</t>
  </si>
  <si>
    <t>Sumber</t>
  </si>
  <si>
    <t>Transformasi/Rumus</t>
  </si>
  <si>
    <t>Text</t>
  </si>
  <si>
    <t>Numeric</t>
  </si>
  <si>
    <t>MULTIVARIAT_PROVINSI</t>
  </si>
  <si>
    <t>Indeks Pembangunan Manusia</t>
  </si>
  <si>
    <t>Umur Harapan Hidup saat lahir</t>
  </si>
  <si>
    <t>tahun</t>
  </si>
  <si>
    <t>Harapan Lama Sekolah</t>
  </si>
  <si>
    <t>Rata-rata Lama Sekolah</t>
  </si>
  <si>
    <t>Pengeluaran riil per kapita disesuaikan</t>
  </si>
  <si>
    <t>Persentase penduduk miskin</t>
  </si>
  <si>
    <t>persen</t>
  </si>
  <si>
    <t>Tingkat Pengangguran Terbuka</t>
  </si>
  <si>
    <t>Kepadatan penduduk</t>
  </si>
  <si>
    <t>GEO_KABKOTA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</si>
  <si>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</si>
  <si>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</si>
  <si>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</si>
  <si>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</si>
  <si>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</si>
  <si>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</si>
  <si>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</si>
  <si>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</si>
  <si>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</si>
  <si>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</si>
  <si>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</si>
  <si>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</si>
  <si>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</si>
  <si>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</si>
  <si>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</si>
  <si>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</si>
  <si>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</si>
  <si>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</si>
  <si>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</si>
  <si>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</si>
  <si>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</si>
  <si>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</si>
  <si>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</si>
  <si>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</si>
  <si>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</si>
  <si>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</si>
  <si>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</si>
  <si>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</si>
  <si>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</si>
  <si>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</si>
  <si>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</si>
  <si>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</si>
  <si>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</si>
  <si>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</si>
  <si>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Statistik Migrasi Indonesia Hasil Long Form Sensus Penduduk 2020</t>
  </si>
  <si>
    <t>https://www.bps.go.id/id/publication/2023/07/20/97c956dd7ff3ece924911115/statistik-migrasi-indonesia-hasil-long-form-sensus-penduduk-2020.html</t>
  </si>
  <si>
    <t>5.3/55-57</t>
  </si>
  <si>
    <t>-</t>
  </si>
  <si>
    <t>SRC002</t>
  </si>
  <si>
    <t>Risen</t>
  </si>
  <si>
    <t>Penamaan kolom Papua dan Papua Barat salah pada "Provinsi Tempat Tinggal 5 Tahun yang Lalu" (Terbalik)</t>
  </si>
  <si>
    <t>https://www.bps.go.id/id/publication/2021/04/30/8e777ce2d7570ced44197a37/indeks-pembangunan-manusia-2020.html</t>
  </si>
  <si>
    <t>Indeks Pembangunan Manusia 2020</t>
  </si>
  <si>
    <t>Lampiran/Halaman</t>
  </si>
  <si>
    <t>1/111</t>
  </si>
  <si>
    <t>SRC003</t>
  </si>
  <si>
    <t>Statistik Demografi Indonesia (Hasil Sensus Penduduk 2020)</t>
  </si>
  <si>
    <t>https://www.bps.go.id/id/publication/2025/01/31/29a40174e02f20a7a31b5bc3/statistik-demografi-indonesia--hasil-sensus-penduduk-2020-.html</t>
  </si>
  <si>
    <t>Gambar 2.12/21</t>
  </si>
  <si>
    <t>Tempat mengumpulkan data mentah/utama sebelum preprocessing dan visualisasi</t>
  </si>
  <si>
    <t>FLOW_OD,  data arus migrasi antarprovinsi. Ini menjadi sumber untuk flow Jakarta dan network</t>
  </si>
  <si>
    <t>MULTIVARIAT_PROVINSI,  minimal 8 variabel numerik dan minimal 34 observasi</t>
  </si>
  <si>
    <t>GEO_KABKOTA,  indikator kabupaten/kota + KODE_BPS untuk join ke GeoJSON/Shapefile</t>
  </si>
  <si>
    <t>KOMUTER_JABODETABEK,  hanya jika menemukan data BPS komuter yang sesuai</t>
  </si>
  <si>
    <t>FLOW_JAKARTA dan NETWORK_EDGES cukup diturunkan dari FLOW_OD, bukan dicari ulang</t>
  </si>
  <si>
    <t>Jangan masukkan koordinat polygon ke Excel. Simpan GeoJSON/Shapefile terpisah dan join menggunakan KODE_BPS</t>
  </si>
  <si>
    <t>Catat definisi, satuan, periode, sumber, URL, dan transformasi setiap variabel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</si>
  <si>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</si>
  <si>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</si>
  <si>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</si>
  <si>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</si>
  <si>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</si>
  <si>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</si>
  <si>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</si>
  <si>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</si>
  <si>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</si>
  <si>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</si>
  <si>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</si>
  <si>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</si>
  <si>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</si>
  <si>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</si>
  <si>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</si>
  <si>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</si>
  <si>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</si>
  <si>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</si>
  <si>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</si>
  <si>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</si>
  <si>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</si>
  <si>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</si>
  <si>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</si>
  <si>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</si>
  <si>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</si>
  <si>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</si>
  <si>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</si>
  <si>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</si>
  <si>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</si>
  <si>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</si>
  <si>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</si>
  <si>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</si>
  <si>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</si>
  <si>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</si>
  <si>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</si>
  <si>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</si>
  <si>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</si>
  <si>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</si>
  <si>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</si>
  <si>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</si>
  <si>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</si>
  <si>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</si>
  <si>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</si>
  <si>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</si>
  <si>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</si>
  <si>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</si>
  <si>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</si>
  <si>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</si>
  <si>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</si>
  <si>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</si>
  <si>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</si>
  <si>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</si>
  <si>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</si>
  <si>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</si>
  <si>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</si>
  <si>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</si>
  <si>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</si>
  <si>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</si>
  <si>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</si>
  <si>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</si>
  <si>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</si>
  <si>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</si>
  <si>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</si>
  <si>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</si>
  <si>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</si>
  <si>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</si>
  <si>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</si>
  <si>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</si>
  <si>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</si>
  <si>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</si>
  <si>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</si>
  <si>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</si>
  <si>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</si>
  <si>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</si>
  <si>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</si>
  <si>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</si>
  <si>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</si>
  <si>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</si>
  <si>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</si>
  <si>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</si>
  <si>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</si>
  <si>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</si>
  <si>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</si>
  <si>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</si>
  <si>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</si>
  <si>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</si>
  <si>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</si>
  <si>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</si>
  <si>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</si>
  <si>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</si>
  <si>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</si>
  <si>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</si>
  <si>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</si>
  <si>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</si>
  <si>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</si>
  <si>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</si>
  <si>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</si>
  <si>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</si>
  <si>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</si>
  <si>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</si>
  <si>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</si>
  <si>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</si>
  <si>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</si>
  <si>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</si>
  <si>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</si>
  <si>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</si>
  <si>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</si>
  <si>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</si>
  <si>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</si>
  <si>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</si>
  <si>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</si>
  <si>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</si>
  <si>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</si>
  <si>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</si>
  <si>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</si>
  <si>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</si>
  <si>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</si>
  <si>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</si>
  <si>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</si>
  <si>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</si>
  <si>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</si>
  <si>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</si>
  <si>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</si>
  <si>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</si>
  <si>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</si>
  <si>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</si>
  <si>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</si>
  <si>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</si>
  <si>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</si>
  <si>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</si>
  <si>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</si>
  <si>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</si>
  <si>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</si>
  <si>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</si>
  <si>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</si>
  <si>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</si>
  <si>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</si>
  <si>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</si>
  <si>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</si>
  <si>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</si>
  <si>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</si>
  <si>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</si>
  <si>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</si>
  <si>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</si>
  <si>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</si>
  <si>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</si>
  <si>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</si>
  <si>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</si>
  <si>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</si>
  <si>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</si>
  <si>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</si>
  <si>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</si>
  <si>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</si>
  <si>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</si>
  <si>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</si>
  <si>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</si>
  <si>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</si>
  <si>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</si>
  <si>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</si>
  <si>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</si>
  <si>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</si>
  <si>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</si>
  <si>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</si>
  <si>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</si>
  <si>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</si>
  <si>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</si>
  <si>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</si>
  <si>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</si>
  <si>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</si>
  <si>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</si>
  <si>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</si>
  <si>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</si>
  <si>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</si>
  <si>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</si>
  <si>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</si>
  <si>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</si>
  <si>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</si>
  <si>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</si>
  <si>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</si>
  <si>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</si>
  <si>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</si>
  <si>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</si>
  <si>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</si>
  <si>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</si>
  <si>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</si>
  <si>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</si>
  <si>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</si>
  <si>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</si>
  <si>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</si>
  <si>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</si>
  <si>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</si>
  <si>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</si>
  <si>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</si>
  <si>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</si>
  <si>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</si>
  <si>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</si>
  <si>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</si>
  <si>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</si>
  <si>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</si>
  <si>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</si>
  <si>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</si>
  <si>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</si>
  <si>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</si>
  <si>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</si>
  <si>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</si>
  <si>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</si>
  <si>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</si>
  <si>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</si>
  <si>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</si>
  <si>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</si>
  <si>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</si>
  <si>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</si>
  <si>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</si>
  <si>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</si>
  <si>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</si>
  <si>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</si>
  <si>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</si>
  <si>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</si>
  <si>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</si>
  <si>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</si>
  <si>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</si>
  <si>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</si>
  <si>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</si>
  <si>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</si>
  <si>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</si>
  <si>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</si>
  <si>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</si>
  <si>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</si>
  <si>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</si>
  <si>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</si>
  <si>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</si>
  <si>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</si>
  <si>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</si>
  <si>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</si>
  <si>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</si>
  <si>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</si>
  <si>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</si>
  <si>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</si>
  <si>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</si>
  <si>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</si>
  <si>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</si>
  <si>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</si>
  <si>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</si>
  <si>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</si>
  <si>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</si>
  <si>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</si>
  <si>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</si>
  <si>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</si>
  <si>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</si>
  <si>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</si>
  <si>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</si>
  <si>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</si>
  <si>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</si>
  <si>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</si>
  <si>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</si>
  <si>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</si>
  <si>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</si>
  <si>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</si>
  <si>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</si>
  <si>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</si>
  <si>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</si>
  <si>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</si>
  <si>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</si>
  <si>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</si>
  <si>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</si>
  <si>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</si>
  <si>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</si>
  <si>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</si>
  <si>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</si>
  <si>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</si>
  <si>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</si>
  <si>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</si>
  <si>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</si>
  <si>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</si>
  <si>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</si>
  <si>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</si>
  <si>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</si>
  <si>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</si>
  <si>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</si>
  <si>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</si>
  <si>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</si>
  <si>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</si>
  <si>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</si>
  <si>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</si>
  <si>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</si>
  <si>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</si>
  <si>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</si>
  <si>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</si>
  <si>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</si>
  <si>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</si>
  <si>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</si>
  <si>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</si>
  <si>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</si>
  <si>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</si>
  <si>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</si>
  <si>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</si>
  <si>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</si>
  <si>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</si>
  <si>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</si>
  <si>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</si>
  <si>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</si>
  <si>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</si>
  <si>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</si>
  <si>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</si>
  <si>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</si>
  <si>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</si>
  <si>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</si>
  <si>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</si>
  <si>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</si>
  <si>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</si>
  <si>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</si>
  <si>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</si>
  <si>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</si>
  <si>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</si>
  <si>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</si>
  <si>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</si>
  <si>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</si>
  <si>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</si>
  <si>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</si>
  <si>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</si>
  <si>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</si>
  <si>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</si>
  <si>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</si>
  <si>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</si>
  <si>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</si>
  <si>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</si>
  <si>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</si>
  <si>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</si>
  <si>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</si>
  <si>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</si>
  <si>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</si>
  <si>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</si>
  <si>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</si>
  <si>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</si>
  <si>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</si>
  <si>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</si>
  <si>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</si>
  <si>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</si>
  <si>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</si>
  <si>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</si>
  <si>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</si>
  <si>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</si>
  <si>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</si>
  <si>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</si>
  <si>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</si>
  <si>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</si>
  <si>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</si>
  <si>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</si>
  <si>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</si>
  <si>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</si>
  <si>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</si>
  <si>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</si>
  <si>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</si>
  <si>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</si>
  <si>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</si>
  <si>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</si>
  <si>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</si>
  <si>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</si>
  <si>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</si>
  <si>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</si>
  <si>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</si>
  <si>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</si>
  <si>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</si>
  <si>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</si>
  <si>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</si>
  <si>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</si>
  <si>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</si>
  <si>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</si>
  <si>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</si>
  <si>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</si>
  <si>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</si>
  <si>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</si>
  <si>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</si>
  <si>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</si>
  <si>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</si>
  <si>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</si>
  <si>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</si>
  <si>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</si>
  <si>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</si>
  <si>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</si>
  <si>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</si>
  <si>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</si>
  <si>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</si>
  <si>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</si>
  <si>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</si>
  <si>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</si>
  <si>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</si>
  <si>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</si>
  <si>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</si>
  <si>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</si>
  <si>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</si>
  <si>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</si>
  <si>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</si>
  <si>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</si>
  <si>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</si>
  <si>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</si>
  <si>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</si>
  <si>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</si>
  <si>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</si>
  <si>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</si>
  <si>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</si>
  <si>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</si>
  <si>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</si>
  <si>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</si>
  <si>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</si>
  <si>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</si>
  <si>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</si>
  <si>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</si>
  <si>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</si>
  <si>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</si>
  <si>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</si>
  <si>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</si>
  <si>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</si>
  <si>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</si>
  <si>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</si>
  <si>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</si>
  <si>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</si>
  <si>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</si>
  <si>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</si>
  <si>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</si>
  <si>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</si>
  <si>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</si>
  <si>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</si>
  <si>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</si>
  <si>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</si>
  <si>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</si>
  <si>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</si>
  <si>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</si>
  <si>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</si>
  <si>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</si>
  <si>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</si>
  <si>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</si>
  <si>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</si>
  <si>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</si>
  <si>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</si>
  <si>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</si>
  <si>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</si>
  <si>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</si>
  <si>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</si>
  <si>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</si>
  <si>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</si>
  <si>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</si>
  <si>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</si>
  <si>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</si>
  <si>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</si>
  <si>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</si>
  <si>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</si>
  <si>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</si>
  <si>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</si>
  <si>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</si>
  <si>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</si>
  <si>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</si>
  <si>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</si>
  <si>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</si>
  <si>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</si>
  <si>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</si>
  <si>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</si>
  <si>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</si>
  <si>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</si>
  <si>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</si>
  <si>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</si>
  <si>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</si>
  <si>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</si>
  <si>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</si>
  <si>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</si>
  <si>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</si>
  <si>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</si>
  <si>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</si>
  <si>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</si>
  <si>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</si>
  <si>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</si>
  <si>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</si>
  <si>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</si>
  <si>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</si>
  <si>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</si>
  <si>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</si>
  <si>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</si>
  <si>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</si>
  <si>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</si>
  <si>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</si>
  <si>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</si>
  <si>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</si>
  <si>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</si>
  <si>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</si>
  <si>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</si>
  <si>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</si>
  <si>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</si>
  <si>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</si>
  <si>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</si>
  <si>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</si>
  <si>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</si>
  <si>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</si>
  <si>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</si>
  <si>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</si>
  <si>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</si>
  <si>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</si>
  <si>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</si>
  <si>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</si>
  <si>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</si>
  <si>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</si>
  <si>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</si>
  <si>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</si>
  <si>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</si>
  <si>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</si>
  <si>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</si>
  <si>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</si>
  <si>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</si>
  <si>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</si>
  <si>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</si>
  <si>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</si>
  <si>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</si>
  <si>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</si>
  <si>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</si>
  <si>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SRC004</t>
  </si>
  <si>
    <t>query-builder: Persentase Penduduk Miskin (P0) Menurut Kabupaten/Kota</t>
  </si>
  <si>
    <t>https://www.bps.go.id/id/query-builder</t>
  </si>
  <si>
    <t>Data hasil query builder</t>
  </si>
  <si>
    <t>SRC005</t>
  </si>
  <si>
    <t>query-builder: [Metode Baru] Indeks Pembangunan Manusia (IPM)</t>
  </si>
  <si>
    <t>SRC006</t>
  </si>
  <si>
    <t>query-builder: [Metode Baru] Indeks Pembangunan Manusia</t>
  </si>
  <si>
    <t>https://papua.bps.go.id/id/query-builder</t>
  </si>
  <si>
    <t>https://papuabarat.bps.go.id/id/query-builder</t>
  </si>
  <si>
    <t>query-builder: [Metode Baru] Indeks Pembangunan Manusia Menurut Kabupaten/Kota</t>
  </si>
  <si>
    <t>SRC007</t>
  </si>
  <si>
    <t>SRC008</t>
  </si>
  <si>
    <t>Produk Domestik Regional Bruto Kabupaten/Kota di Indonesia 2020-2024</t>
  </si>
  <si>
    <t>https://www.bps.go.id/id/publication/2025/06/10/ca543e942579ced46afd603b/produk-domestik-regional-bruto-kabupaten-kota-di-indonesia-2020-2024.html</t>
  </si>
  <si>
    <t>Tabel 153-190/171-208</t>
  </si>
  <si>
    <t>SRC009</t>
  </si>
  <si>
    <t>query-builder: Tingkat Pengangguran Terbuka menurut Jenis Kelamin dan Kabupaten/Kota</t>
  </si>
  <si>
    <t>query-builder: Jumlah Penduduk menurut Kabupaten/Kota dan Kelompok Umur</t>
  </si>
  <si>
    <t>SRC010</t>
  </si>
  <si>
    <t>SRC011</t>
  </si>
  <si>
    <t>KOMUTER_JABODETABEK</t>
  </si>
  <si>
    <t>Statistik Komuter Jabodetabek 2019</t>
  </si>
  <si>
    <t>https://www.bps.go.id/id/publication/2019/12/04/eab87d14d99459f4016bb057/statistik-komuter-jabodetabek-2019.html</t>
  </si>
  <si>
    <t>Tabel 2/2</t>
  </si>
  <si>
    <t>3171</t>
  </si>
  <si>
    <t>3172</t>
  </si>
  <si>
    <t>3173</t>
  </si>
  <si>
    <t>3174</t>
  </si>
  <si>
    <t>3175</t>
  </si>
  <si>
    <t>3201</t>
  </si>
  <si>
    <t>3216</t>
  </si>
  <si>
    <t>3271</t>
  </si>
  <si>
    <t>3275</t>
  </si>
  <si>
    <t>3276</t>
  </si>
  <si>
    <t>3603</t>
  </si>
  <si>
    <t>3671</t>
  </si>
  <si>
    <t>3674</t>
  </si>
  <si>
    <t>Kode provinsi tempat tinggal 5 tahun yang lalu (asal) menurut BPS</t>
  </si>
  <si>
    <t>Nama provinsi asal</t>
  </si>
  <si>
    <t>Kode provinsi tempat tinggal saat sensus (tujuan) menurut BPS</t>
  </si>
  <si>
    <t>Nama provinsi tujuan</t>
  </si>
  <si>
    <t>Jumlah migran risen (tinggal di provinsi lain 5 tahun sebelum sensus) dari provinsi asal ke provinsi tujuan</t>
  </si>
  <si>
    <t>jiwa</t>
  </si>
  <si>
    <t>Diagonal (asal=tujuan) = penduduk yang tidak pindah, bukan migran: kecualikan dari visual aliran dan jaringan</t>
  </si>
  <si>
    <t>Jenis migrasi yang dipakai pada tabel</t>
  </si>
  <si>
    <t>Tahun data</t>
  </si>
  <si>
    <t>Penanda jenis sel pada matriks OD</t>
  </si>
  <si>
    <t>Penandaan sendiri</t>
  </si>
  <si>
    <t>DIISI = arus antarprovinsi; EXCLUDE_DIAGONAL = sel asal=tujuan</t>
  </si>
  <si>
    <t>Kode rujukan ke sheet METADATA_SOURCES</t>
  </si>
  <si>
    <t>Text (rumus)</t>
  </si>
  <si>
    <t>Rumus: =METADATA_SOURCES!$A$2</t>
  </si>
  <si>
    <t>Kode provinsi menurut BPS</t>
  </si>
  <si>
    <t>Nama provinsi</t>
  </si>
  <si>
    <t>indeks (0-100)</t>
  </si>
  <si>
    <t>2020 (September)</t>
  </si>
  <si>
    <t>jiwa/km2</t>
  </si>
  <si>
    <t>Kode rujukan ke METADATA_SOURCES</t>
  </si>
  <si>
    <t>Rumus: =CONCATENATE(METADATA_SOURCES!$A$3,"; ",METADATA_SOURCES!$A$4)</t>
  </si>
  <si>
    <t>Kode wilayah kabupaten/kota BPS (4 digit)</t>
  </si>
  <si>
    <t>Query builder BPS</t>
  </si>
  <si>
    <t>Nama kabupaten/kota</t>
  </si>
  <si>
    <t>Kode provinsi (2 digit pertama KODE_BPS)</t>
  </si>
  <si>
    <t>Rumus: =LEFT(A2,2)</t>
  </si>
  <si>
    <t>Persentase penduduk miskin (P0)</t>
  </si>
  <si>
    <t>Indeks Pembangunan Manusia (metode baru)</t>
  </si>
  <si>
    <t>SRC005; SRC006; SRC007</t>
  </si>
  <si>
    <t>PDRB per kapita</t>
  </si>
  <si>
    <t>Rp per tahun</t>
  </si>
  <si>
    <t>Jumlah penduduk</t>
  </si>
  <si>
    <t>Rumus: =CONCATENATE(...) atas SRC004 sampai SRC010</t>
  </si>
  <si>
    <t>Kode kabupaten/kota tempat tinggal komuter</t>
  </si>
  <si>
    <t>Nama kabupaten/kota asal</t>
  </si>
  <si>
    <t>Kode kabupaten/kota tempat bekerja/tujuan komuter</t>
  </si>
  <si>
    <t>Nama kabupaten/kota tujuan</t>
  </si>
  <si>
    <t>Jumlah komuter dari wilayah asal ke wilayah tujuan</t>
  </si>
  <si>
    <t>Rumus: =METADATA_SOURCES!$A$12</t>
  </si>
  <si>
    <t>FLOW_JAKARTA</t>
  </si>
  <si>
    <t>Kode provinsi asal</t>
  </si>
  <si>
    <t>Turunan FLOW_OD: baris dengan asal atau tujuan DKI Jakarta (kode 31)</t>
  </si>
  <si>
    <t>Turunan FLOW_OD</t>
  </si>
  <si>
    <t>Kode provinsi tujuan</t>
  </si>
  <si>
    <t>Jumlah migran risen pada arus yang melibatkan DKI Jakarta</t>
  </si>
  <si>
    <t>Salinan nilai FLOW_OD</t>
  </si>
  <si>
    <t>NETWORK_EDGES</t>
  </si>
  <si>
    <t>Kode provinsi asal (node sumber)</t>
  </si>
  <si>
    <t>Nama node sumber</t>
  </si>
  <si>
    <t>Kode provinsi tujuan (node target)</t>
  </si>
  <si>
    <t>Nama node target</t>
  </si>
  <si>
    <t>Bobot edge: jumlah migran dari node asal ke node tujuan</t>
  </si>
  <si>
    <t>Weight = Jumlah_Migran; kecualikan diagonal dan bobot 0</t>
  </si>
  <si>
    <t>Ukuran sentralitas node (in/out-degree, strength, betweenness)</t>
  </si>
  <si>
    <t>skor</t>
  </si>
  <si>
    <t>Dihitung sendiri</t>
  </si>
  <si>
    <t>SRC002 atau SRC003</t>
  </si>
  <si>
    <t>Tidak tersedia</t>
  </si>
  <si>
    <t>weight</t>
  </si>
  <si>
    <t>centrality_nanti</t>
  </si>
  <si>
    <t>nama_tujuan</t>
  </si>
  <si>
    <t>kode_tujuan</t>
  </si>
  <si>
    <t>nama_asal</t>
  </si>
  <si>
    <t>kode_asal</t>
  </si>
  <si>
    <t>jumlah_migran</t>
  </si>
  <si>
    <t>jumlah_komuter</t>
  </si>
  <si>
    <t>id_sumber</t>
  </si>
  <si>
    <t>kode_bps</t>
  </si>
  <si>
    <t>nama_kabkota</t>
  </si>
  <si>
    <t>kode_provinsi</t>
  </si>
  <si>
    <t>nama_provinsi</t>
  </si>
  <si>
    <t>persentase_miskin</t>
  </si>
  <si>
    <t>ipm</t>
  </si>
  <si>
    <t>pdrb_per_kapita</t>
  </si>
  <si>
    <t>tpt</t>
  </si>
  <si>
    <t>jumlah_penduduk</t>
  </si>
  <si>
    <t>uhh</t>
  </si>
  <si>
    <t>hls</t>
  </si>
  <si>
    <t>rls</t>
  </si>
  <si>
    <t>pengeluaran_per_kapita</t>
  </si>
  <si>
    <t>kepadatan_penduduk</t>
  </si>
  <si>
    <t>jenis_migrasi</t>
  </si>
  <si>
    <t>tahun_data</t>
  </si>
  <si>
    <t>status_observasi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</si>
</sst>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8" fillId="0" borderId="0"/>
    <xf numFmtId="0" fontId="9" fillId="0" borderId="0"/>
  </cellStyleXfs>
  <cellXfs count="39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0" fontId="0" fillId="0" borderId="1" xfId="0" applyBorder="1"/>
    <xf numFmtId="0" fontId="1" fillId="0" borderId="0" xfId="0" applyFont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3" xfId="0" applyBorder="1"/>
    <xf numFmtId="0" fontId="0" fillId="0" borderId="1" xfId="0" applyBorder="1" applyAlignment="1">
      <alignment vertical="center"/>
    </xf>
    <xf numFmtId="0" fontId="2" fillId="0" borderId="1" xfId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vertical="top" wrapText="1"/>
    </xf>
    <xf numFmtId="0" fontId="0" fillId="0" borderId="5" xfId="0" applyBorder="1"/>
    <xf numFmtId="0" fontId="0" fillId="0" borderId="8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9" xfId="0" applyBorder="1"/>
    <xf numFmtId="164" fontId="0" fillId="0" borderId="1" xfId="0" applyNumberFormat="1" applyBorder="1" applyAlignment="1">
      <alignment horizontal="left" vertical="center" wrapText="1"/>
    </xf>
    <xf numFmtId="0" fontId="1" fillId="0" borderId="7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1" xfId="0" applyNumberForma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NumberForma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0" borderId="3" xfId="1" applyFill="1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 wrapText="1"/>
    </xf>
  </cellXfs>
  <cellStyles count="5">
    <cellStyle name="Hyperlink" xfId="1" builtinId="8"/>
    <cellStyle name="Normal" xfId="0" builtinId="0"/>
    <cellStyle name="Normal 2" xfId="2" xr:uid="{40A851E6-5C94-4062-B96E-FCCA3F9C6563}"/>
    <cellStyle name="Normal 2 2" xfId="4" xr:uid="{6C20A399-52BC-4780-9C35-1AEBE8388AE3}"/>
    <cellStyle name="Normal 3" xfId="3" xr:uid="{2114B3D3-B02E-49FF-A666-EFDBA3B3FED9}"/>
  </cellStyles>
  <dxfs count="8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m/d/yy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A74CF1-03A1-407E-8377-AE50F1676D81}" name="Table8" displayName="Table8" ref="A1:I12" totalsRowShown="0" headerRowDxfId="0" headerRowBorderDxfId="11" tableBorderDxfId="12" totalsRowBorderDxfId="10">
  <autoFilter ref="A1:I12" xr:uid="{05A74CF1-03A1-407E-8377-AE50F1676D81}"/>
  <tableColumns count="9">
    <tableColumn id="1" xr3:uid="{FBA84A87-B07A-4C56-BD0D-73789F0D1486}" name="ID_Sumber" dataDxfId="9"/>
    <tableColumn id="2" xr3:uid="{ED058142-2F40-4B04-9813-E9C660D3E5CF}" name="Topik/Sheet" dataDxfId="8"/>
    <tableColumn id="3" xr3:uid="{FA43377D-AB27-424C-AAC7-F7A73B6C94BD}" name="Judul Tabel/Publikasi" dataDxfId="7"/>
    <tableColumn id="4" xr3:uid="{F7D61127-9A81-4F15-BB79-25F92035BB09}" name="Instansi" dataDxfId="6"/>
    <tableColumn id="5" xr3:uid="{EF861922-D9CE-47F1-9B96-2118F64C2F22}" name="Periode" dataDxfId="5"/>
    <tableColumn id="6" xr3:uid="{8FBF2AEA-983F-4E16-B25E-3BF5547A783F}" name="URL" dataDxfId="4" dataCellStyle="Hyperlink"/>
    <tableColumn id="7" xr3:uid="{2500CAA4-CD0E-4AA5-AAF2-0B68C6F25079}" name="Tanggal_Akses" dataDxfId="3"/>
    <tableColumn id="8" xr3:uid="{A47D88EF-3CE3-4587-8513-46D3CEAEAFAE}" name="Lampiran/Halaman" dataDxfId="2"/>
    <tableColumn id="9" xr3:uid="{B81325CA-194D-4837-9E15-B7FB06816AB1}" name="Definisi/Catatan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36B66F-E5C7-40B0-9436-C40F978E5109}" name="Table7" displayName="Table7" ref="A1:H49" totalsRowShown="0" headerRowDxfId="13" dataDxfId="14" headerRowBorderDxfId="24" tableBorderDxfId="25" totalsRowBorderDxfId="23">
  <autoFilter ref="A1:H49" xr:uid="{0C36B66F-E5C7-40B0-9436-C40F978E5109}"/>
  <tableColumns count="8">
    <tableColumn id="1" xr3:uid="{C3BD0185-D545-45E4-BD34-00278A104878}" name="Sheet" dataDxfId="22"/>
    <tableColumn id="2" xr3:uid="{C55E2377-6D13-4384-95FA-B54EA53DA878}" name="Nama_Variabel" dataDxfId="21"/>
    <tableColumn id="3" xr3:uid="{A6CBB1D6-6484-45D9-8492-488F8C91F310}" name="Definisi" dataDxfId="20"/>
    <tableColumn id="4" xr3:uid="{090F08DA-7B1C-40B8-A19E-CFEC7717B4F0}" name="Satuan" dataDxfId="19"/>
    <tableColumn id="5" xr3:uid="{3846AE14-72E6-4AB1-A8A0-8D13B89C649B}" name="Tipe_Data" dataDxfId="18"/>
    <tableColumn id="6" xr3:uid="{2FEBD57C-793A-47A0-B790-F613CB1CE07E}" name="Periode" dataDxfId="17"/>
    <tableColumn id="7" xr3:uid="{696C2E29-1042-48E5-81BD-3776A68CCBDC}" name="Sumber" dataDxfId="16"/>
    <tableColumn id="8" xr3:uid="{DCABD5BA-160F-4D70-8F16-7CBCF47A1342}" name="Transformasi/Rumus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LOWOD" displayName="tblFLOWOD" ref="A1:I1157" dataDxfId="78" totalsRowDxfId="77">
  <autoFilter ref="A1:I1157" xr:uid="{00000000-000C-0000-FFFF-FFFF00000000}"/>
  <tableColumns count="9">
    <tableColumn id="1" xr3:uid="{00000000-0010-0000-0000-000001000000}" name="kode_asal" dataDxfId="76"/>
    <tableColumn id="2" xr3:uid="{00000000-0010-0000-0000-000002000000}" name="nama_asal" dataDxfId="75"/>
    <tableColumn id="3" xr3:uid="{00000000-0010-0000-0000-000003000000}" name="kode_tujuan" dataDxfId="74"/>
    <tableColumn id="4" xr3:uid="{00000000-0010-0000-0000-000004000000}" name="nama_tujuan" dataDxfId="73"/>
    <tableColumn id="5" xr3:uid="{00000000-0010-0000-0000-000005000000}" name="jumlah_migran" dataDxfId="72"/>
    <tableColumn id="6" xr3:uid="{00000000-0010-0000-0000-000006000000}" name="jenis_migrasi" dataDxfId="71"/>
    <tableColumn id="7" xr3:uid="{00000000-0010-0000-0000-000007000000}" name="tahun_data" dataDxfId="70"/>
    <tableColumn id="8" xr3:uid="{00000000-0010-0000-0000-000008000000}" name="status_observasi" dataDxfId="69">
      <calculatedColumnFormula>IF(tblFLOWOD[[#This Row],[nama_asal]]=tblFLOWOD[[#This Row],[nama_tujuan]],"keluar","isi")</calculatedColumnFormula>
    </tableColumn>
    <tableColumn id="9" xr3:uid="{00000000-0010-0000-0000-000009000000}" name="id_sumber" dataDxfId="68">
      <calculatedColumnFormula>METADATA_SOURCES!$A$2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Multivariat" displayName="tblMultivariat" ref="A1:K35" dataDxfId="67">
  <autoFilter ref="A1:K35" xr:uid="{00000000-0009-0000-0100-000002000000}"/>
  <tableColumns count="11">
    <tableColumn id="1" xr3:uid="{00000000-0010-0000-0100-000001000000}" name="kode_provinsi" dataDxfId="66"/>
    <tableColumn id="2" xr3:uid="{00000000-0010-0000-0100-000002000000}" name="nama_provinsi" dataDxfId="65"/>
    <tableColumn id="4" xr3:uid="{00000000-0010-0000-0100-000004000000}" name="ipm" dataDxfId="64"/>
    <tableColumn id="5" xr3:uid="{00000000-0010-0000-0100-000005000000}" name="uhh" dataDxfId="63"/>
    <tableColumn id="6" xr3:uid="{00000000-0010-0000-0100-000006000000}" name="hls" dataDxfId="62"/>
    <tableColumn id="7" xr3:uid="{00000000-0010-0000-0100-000007000000}" name="rls" dataDxfId="61"/>
    <tableColumn id="8" xr3:uid="{00000000-0010-0000-0100-000008000000}" name="pengeluaran_per_kapita" dataDxfId="60"/>
    <tableColumn id="9" xr3:uid="{00000000-0010-0000-0100-000009000000}" name="persentase_miskin" dataDxfId="59"/>
    <tableColumn id="10" xr3:uid="{00000000-0010-0000-0100-00000A000000}" name="tpt" dataDxfId="58"/>
    <tableColumn id="11" xr3:uid="{00000000-0010-0000-0100-00000B000000}" name="kepadatan_penduduk" dataDxfId="57"/>
    <tableColumn id="14" xr3:uid="{00000000-0010-0000-0100-00000E000000}" name="id_sumber" dataDxfId="56">
      <calculatedColumnFormula>CONCATENATE(METADATA_SOURCES!$A$3,"; ",METADATA_SOURCES!$A$4)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Geo" displayName="tblGeo" ref="A1:J515" dataDxfId="55" totalsRowDxfId="54">
  <autoFilter ref="A1:J515" xr:uid="{00000000-0009-0000-0100-000003000000}"/>
  <sortState xmlns:xlrd2="http://schemas.microsoft.com/office/spreadsheetml/2017/richdata2" ref="A2:J515">
    <sortCondition ref="A2:A515"/>
  </sortState>
  <tableColumns count="10">
    <tableColumn id="1" xr3:uid="{00000000-0010-0000-0200-000001000000}" name="kode_bps" dataDxfId="53"/>
    <tableColumn id="2" xr3:uid="{00000000-0010-0000-0200-000002000000}" name="nama_kabkota" dataDxfId="52"/>
    <tableColumn id="3" xr3:uid="{00000000-0010-0000-0200-000003000000}" name="kode_provinsi" dataDxfId="51">
      <calculatedColumnFormula>LEFT(A2,2)</calculatedColumnFormula>
    </tableColumn>
    <tableColumn id="4" xr3:uid="{00000000-0010-0000-0200-000004000000}" name="nama_provinsi" dataDxfId="50"/>
    <tableColumn id="8" xr3:uid="{00000000-0010-0000-0200-000008000000}" name="persentase_miskin" dataDxfId="49"/>
    <tableColumn id="9" xr3:uid="{00000000-0010-0000-0200-000009000000}" name="ipm" dataDxfId="48"/>
    <tableColumn id="10" xr3:uid="{00000000-0010-0000-0200-00000A000000}" name="pdrb_per_kapita" dataDxfId="47"/>
    <tableColumn id="11" xr3:uid="{00000000-0010-0000-0200-00000B000000}" name="tpt" dataDxfId="46"/>
    <tableColumn id="12" xr3:uid="{00000000-0010-0000-0200-00000C000000}" name="jumlah_penduduk" dataDxfId="45"/>
    <tableColumn id="17" xr3:uid="{00000000-0010-0000-0200-000011000000}" name="id_sumber" dataDxfId="44">
      <calculatedColumnFormula>CONCATENATE(METADATA_SOURCES!$A$5,"; ",METADATA_SOURCES!$A$6,"; ",METADATA_SOURCES!$A$7,"; ",METADATA_SOURCES!$A$8,"; ",METADATA_SOURCES!$A$9,"; ",METADATA_SOURCES!$A$10,"; ",METADATA_SOURCES!$A$11)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804DE7-B41C-43BA-931C-E29714FFAF6B}" name="Table4" displayName="Table4" ref="A1:F143" totalsRowShown="0" headerRowDxfId="43" dataDxfId="42">
  <autoFilter ref="A1:F143" xr:uid="{C9804DE7-B41C-43BA-931C-E29714FFAF6B}"/>
  <tableColumns count="6">
    <tableColumn id="1" xr3:uid="{CA32B770-B1D3-4DFD-A276-C72ACB437E3D}" name="kode_asal" dataDxfId="41"/>
    <tableColumn id="2" xr3:uid="{CD4B4A66-1DB5-4464-B7A6-94B5D9FF0A0C}" name="nama_asal" dataDxfId="40"/>
    <tableColumn id="3" xr3:uid="{609E1D10-3D37-4E5E-85D1-DD7F9EBCEBD9}" name="kode_tujuan" dataDxfId="39"/>
    <tableColumn id="4" xr3:uid="{56F532E0-FDD1-48C6-84AD-1170C48E37BA}" name="nama_tujuan" dataDxfId="38"/>
    <tableColumn id="5" xr3:uid="{D3A6D151-99D6-4B9E-AEBE-9C4B93229A56}" name="jumlah_komuter" dataDxfId="37"/>
    <tableColumn id="6" xr3:uid="{18042B5F-29D8-4319-AC1C-CE39FD6DA62B}" name="id_sumber" dataDxfId="36">
      <calculatedColumnFormula>METADATA_SOURCES!$A$12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44DD33-6A3C-4F09-9581-C7EB980F886F}" name="Table5" displayName="Table5" ref="A1:E67" totalsRowShown="0" headerRowDxfId="87" headerRowBorderDxfId="86" tableBorderDxfId="85" totalsRowBorderDxfId="84">
  <autoFilter ref="A1:E67" xr:uid="{3344DD33-6A3C-4F09-9581-C7EB980F886F}"/>
  <tableColumns count="5">
    <tableColumn id="1" xr3:uid="{A97C526F-F4CF-439B-94B7-1ACC3B0D52B8}" name="kode_asal" dataDxfId="83"/>
    <tableColumn id="2" xr3:uid="{A06EB03B-EFA2-428E-8750-2625B01CC79E}" name="nama_asal" dataDxfId="82"/>
    <tableColumn id="3" xr3:uid="{915F2F13-451B-4692-85C8-931B037F0D1D}" name="kode_tujuan" dataDxfId="81"/>
    <tableColumn id="4" xr3:uid="{CA49676B-7235-4E1F-80E5-32A48D8654C2}" name="nama_tujuan" dataDxfId="80"/>
    <tableColumn id="5" xr3:uid="{3D349B3F-9099-4C7B-BAAC-384CC982CC07}" name="jumlah_migran" dataDxfId="7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F51127-2134-4E4E-8D72-FB8B7593E275}" name="Table6" displayName="Table6" ref="A1:F67" totalsRowShown="0" headerRowDxfId="35" headerRowBorderDxfId="34" tableBorderDxfId="33" totalsRowBorderDxfId="32">
  <autoFilter ref="A1:F67" xr:uid="{ABF51127-2134-4E4E-8D72-FB8B7593E275}"/>
  <tableColumns count="6">
    <tableColumn id="1" xr3:uid="{7E370B52-3676-4636-BA96-FA168869521E}" name="kode_asal" dataDxfId="31"/>
    <tableColumn id="2" xr3:uid="{E91C0B4B-6D2C-4FF1-BF35-AF2CB7ED462D}" name="nama_asal" dataDxfId="30"/>
    <tableColumn id="3" xr3:uid="{D4DEA431-DB24-4B59-8343-9560230D37B9}" name="kode_tujuan" dataDxfId="29"/>
    <tableColumn id="4" xr3:uid="{3BD14680-8F12-4AE4-89DB-4D219AEAF7E6}" name="nama_tujuan" dataDxfId="28"/>
    <tableColumn id="5" xr3:uid="{C3139E59-C951-4BD2-AFD6-E852CF0AEBFD}" name="weight" dataDxfId="27"/>
    <tableColumn id="6" xr3:uid="{DF31EAA0-1330-423A-BD93-1E09FAA67216}" name="centrality_nanti" dataDxf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ps.go.id/id/query-builder" TargetMode="External"/><Relationship Id="rId3" Type="http://schemas.openxmlformats.org/officeDocument/2006/relationships/hyperlink" Target="https://www.bps.go.id/id/publication/2021/04/30/8e777ce2d7570ced44197a37/indeks-pembangunan-manusia-2020.html" TargetMode="External"/><Relationship Id="rId7" Type="http://schemas.openxmlformats.org/officeDocument/2006/relationships/hyperlink" Target="https://www.bps.go.id/id/query-builder" TargetMode="External"/><Relationship Id="rId2" Type="http://schemas.openxmlformats.org/officeDocument/2006/relationships/hyperlink" Target="https://www.bps.go.id/id/publication/2025/01/31/29a40174e02f20a7a31b5bc3/statistik-demografi-indonesia--hasil-sensus-penduduk-2020-.html" TargetMode="External"/><Relationship Id="rId1" Type="http://schemas.openxmlformats.org/officeDocument/2006/relationships/hyperlink" Target="https://www.bps.go.id/id/publication/2023/07/20/97c956dd7ff3ece924911115/statistik-migrasi-indonesia-hasil-long-form-sensus-penduduk-2020.html" TargetMode="External"/><Relationship Id="rId6" Type="http://schemas.openxmlformats.org/officeDocument/2006/relationships/hyperlink" Target="https://www.bps.go.id/id/publication/2025/06/10/ca543e942579ced46afd603b/produk-domestik-regional-bruto-kabupaten-kota-di-indonesia-2020-2024.html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www.bps.go.id/id/query-builder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www.bps.go.id/id/query-builder" TargetMode="External"/><Relationship Id="rId9" Type="http://schemas.openxmlformats.org/officeDocument/2006/relationships/hyperlink" Target="https://www.bps.go.id/id/publication/2019/12/04/eab87d14d99459f4016bb057/statistik-komuter-jabodetabek-2019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Normal="100" workbookViewId="0">
      <pane ySplit="1" topLeftCell="A2" activePane="bottomLeft" state="frozen"/>
      <selection pane="bottomLeft" activeCell="B20" sqref="B20"/>
    </sheetView>
  </sheetViews>
  <sheetFormatPr defaultRowHeight="14.4" x14ac:dyDescent="0.3"/>
  <cols>
    <col min="1" max="1" width="25" customWidth="1"/>
    <col min="2" max="2" width="100" customWidth="1"/>
  </cols>
  <sheetData>
    <row r="1" spans="1:2" x14ac:dyDescent="0.3">
      <c r="A1" s="3" t="s">
        <v>0</v>
      </c>
      <c r="B1" s="4" t="s">
        <v>91</v>
      </c>
    </row>
    <row r="2" spans="1:2" x14ac:dyDescent="0.3">
      <c r="A2" s="3" t="s">
        <v>1</v>
      </c>
      <c r="B2" s="4" t="s">
        <v>20</v>
      </c>
    </row>
    <row r="3" spans="1:2" x14ac:dyDescent="0.3">
      <c r="A3" s="3" t="s">
        <v>2</v>
      </c>
      <c r="B3" s="2">
        <v>2020</v>
      </c>
    </row>
    <row r="4" spans="1:2" x14ac:dyDescent="0.3">
      <c r="A4" s="3" t="s">
        <v>3</v>
      </c>
      <c r="B4" s="4" t="s">
        <v>92</v>
      </c>
    </row>
    <row r="5" spans="1:2" x14ac:dyDescent="0.3">
      <c r="A5" s="3" t="s">
        <v>4</v>
      </c>
      <c r="B5" s="4" t="s">
        <v>93</v>
      </c>
    </row>
    <row r="6" spans="1:2" x14ac:dyDescent="0.3">
      <c r="A6" s="3" t="s">
        <v>5</v>
      </c>
      <c r="B6" s="4" t="s">
        <v>94</v>
      </c>
    </row>
    <row r="7" spans="1:2" x14ac:dyDescent="0.3">
      <c r="A7" s="3" t="s">
        <v>6</v>
      </c>
      <c r="B7" s="4" t="s">
        <v>95</v>
      </c>
    </row>
    <row r="8" spans="1:2" x14ac:dyDescent="0.3">
      <c r="A8" s="3" t="s">
        <v>7</v>
      </c>
      <c r="B8" s="4" t="s">
        <v>96</v>
      </c>
    </row>
    <row r="9" spans="1:2" x14ac:dyDescent="0.3">
      <c r="A9" s="3" t="s">
        <v>8</v>
      </c>
      <c r="B9" s="4" t="s">
        <v>97</v>
      </c>
    </row>
    <row r="10" spans="1:2" x14ac:dyDescent="0.3">
      <c r="A10" s="3" t="s">
        <v>9</v>
      </c>
      <c r="B10" s="4" t="s">
        <v>98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abSelected="1" workbookViewId="0">
      <pane ySplit="1" topLeftCell="A2" activePane="bottomLeft" state="frozen"/>
      <selection pane="bottomLeft" activeCell="C22" sqref="C22"/>
    </sheetView>
  </sheetViews>
  <sheetFormatPr defaultRowHeight="14.4" x14ac:dyDescent="0.3"/>
  <cols>
    <col min="1" max="1" width="14" customWidth="1"/>
    <col min="2" max="2" width="22.5546875" customWidth="1"/>
    <col min="3" max="3" width="55.33203125" bestFit="1" customWidth="1"/>
    <col min="4" max="4" width="14" customWidth="1"/>
    <col min="5" max="5" width="15" customWidth="1"/>
    <col min="6" max="6" width="55" customWidth="1"/>
    <col min="7" max="7" width="16" customWidth="1"/>
    <col min="8" max="8" width="19.109375" customWidth="1"/>
    <col min="9" max="9" width="55" customWidth="1"/>
  </cols>
  <sheetData>
    <row r="1" spans="1:9" x14ac:dyDescent="0.3">
      <c r="A1" s="29" t="s">
        <v>10</v>
      </c>
      <c r="B1" s="30" t="s">
        <v>11</v>
      </c>
      <c r="C1" s="30" t="s">
        <v>12</v>
      </c>
      <c r="D1" s="30" t="s">
        <v>13</v>
      </c>
      <c r="E1" s="30" t="s">
        <v>14</v>
      </c>
      <c r="F1" s="30" t="s">
        <v>15</v>
      </c>
      <c r="G1" s="30" t="s">
        <v>16</v>
      </c>
      <c r="H1" s="30" t="s">
        <v>85</v>
      </c>
      <c r="I1" s="31" t="s">
        <v>17</v>
      </c>
    </row>
    <row r="2" spans="1:9" ht="28.8" x14ac:dyDescent="0.3">
      <c r="A2" s="27" t="s">
        <v>18</v>
      </c>
      <c r="B2" s="5" t="s">
        <v>19</v>
      </c>
      <c r="C2" s="6" t="s">
        <v>76</v>
      </c>
      <c r="D2" s="5" t="s">
        <v>20</v>
      </c>
      <c r="E2" s="5">
        <v>2020</v>
      </c>
      <c r="F2" s="7" t="s">
        <v>77</v>
      </c>
      <c r="G2" s="22">
        <v>46297</v>
      </c>
      <c r="H2" s="5" t="s">
        <v>78</v>
      </c>
      <c r="I2" s="28" t="s">
        <v>82</v>
      </c>
    </row>
    <row r="3" spans="1:9" x14ac:dyDescent="0.3">
      <c r="A3" s="27" t="s">
        <v>80</v>
      </c>
      <c r="B3" s="5" t="s">
        <v>30</v>
      </c>
      <c r="C3" s="6" t="s">
        <v>84</v>
      </c>
      <c r="D3" s="5" t="s">
        <v>20</v>
      </c>
      <c r="E3" s="5">
        <v>2020</v>
      </c>
      <c r="F3" s="7" t="s">
        <v>83</v>
      </c>
      <c r="G3" s="22">
        <v>46297</v>
      </c>
      <c r="H3" s="5" t="s">
        <v>86</v>
      </c>
      <c r="I3" s="28" t="s">
        <v>79</v>
      </c>
    </row>
    <row r="4" spans="1:9" x14ac:dyDescent="0.3">
      <c r="A4" s="27" t="s">
        <v>87</v>
      </c>
      <c r="B4" s="5" t="s">
        <v>30</v>
      </c>
      <c r="C4" s="6" t="s">
        <v>88</v>
      </c>
      <c r="D4" s="5" t="s">
        <v>20</v>
      </c>
      <c r="E4" s="5">
        <v>2020</v>
      </c>
      <c r="F4" s="7" t="s">
        <v>89</v>
      </c>
      <c r="G4" s="22">
        <v>46298</v>
      </c>
      <c r="H4" s="5" t="s">
        <v>90</v>
      </c>
      <c r="I4" s="28" t="s">
        <v>79</v>
      </c>
    </row>
    <row r="5" spans="1:9" x14ac:dyDescent="0.3">
      <c r="A5" s="27" t="s">
        <v>612</v>
      </c>
      <c r="B5" s="5" t="s">
        <v>41</v>
      </c>
      <c r="C5" s="6" t="s">
        <v>613</v>
      </c>
      <c r="D5" s="5" t="s">
        <v>20</v>
      </c>
      <c r="E5" s="5">
        <v>2020</v>
      </c>
      <c r="F5" s="13" t="s">
        <v>614</v>
      </c>
      <c r="G5" s="22">
        <v>46298</v>
      </c>
      <c r="H5" s="5" t="s">
        <v>79</v>
      </c>
      <c r="I5" s="28" t="s">
        <v>615</v>
      </c>
    </row>
    <row r="6" spans="1:9" x14ac:dyDescent="0.3">
      <c r="A6" s="27" t="s">
        <v>616</v>
      </c>
      <c r="B6" s="5" t="s">
        <v>41</v>
      </c>
      <c r="C6" s="6" t="s">
        <v>617</v>
      </c>
      <c r="D6" s="5" t="s">
        <v>20</v>
      </c>
      <c r="E6" s="5">
        <v>2020</v>
      </c>
      <c r="F6" s="13" t="s">
        <v>614</v>
      </c>
      <c r="G6" s="22">
        <v>46298</v>
      </c>
      <c r="H6" s="5" t="s">
        <v>79</v>
      </c>
      <c r="I6" s="28" t="s">
        <v>615</v>
      </c>
    </row>
    <row r="7" spans="1:9" x14ac:dyDescent="0.3">
      <c r="A7" s="27" t="s">
        <v>618</v>
      </c>
      <c r="B7" s="5" t="s">
        <v>41</v>
      </c>
      <c r="C7" s="6" t="s">
        <v>619</v>
      </c>
      <c r="D7" s="5" t="s">
        <v>20</v>
      </c>
      <c r="E7" s="5">
        <v>2020</v>
      </c>
      <c r="F7" s="13" t="s">
        <v>620</v>
      </c>
      <c r="G7" s="22">
        <v>46298</v>
      </c>
      <c r="H7" s="5" t="s">
        <v>79</v>
      </c>
      <c r="I7" s="28" t="s">
        <v>615</v>
      </c>
    </row>
    <row r="8" spans="1:9" ht="28.8" x14ac:dyDescent="0.3">
      <c r="A8" s="27" t="s">
        <v>623</v>
      </c>
      <c r="B8" s="5" t="s">
        <v>41</v>
      </c>
      <c r="C8" s="5" t="s">
        <v>622</v>
      </c>
      <c r="D8" s="5" t="s">
        <v>20</v>
      </c>
      <c r="E8" s="5">
        <v>2020</v>
      </c>
      <c r="F8" s="13" t="s">
        <v>621</v>
      </c>
      <c r="G8" s="22">
        <v>46298</v>
      </c>
      <c r="H8" s="5" t="s">
        <v>79</v>
      </c>
      <c r="I8" s="28" t="s">
        <v>615</v>
      </c>
    </row>
    <row r="9" spans="1:9" ht="28.8" x14ac:dyDescent="0.3">
      <c r="A9" s="27" t="s">
        <v>624</v>
      </c>
      <c r="B9" s="5" t="s">
        <v>41</v>
      </c>
      <c r="C9" s="6" t="s">
        <v>625</v>
      </c>
      <c r="D9" s="5" t="s">
        <v>20</v>
      </c>
      <c r="E9" s="5">
        <v>2020</v>
      </c>
      <c r="F9" s="13" t="s">
        <v>626</v>
      </c>
      <c r="G9" s="22">
        <v>46298</v>
      </c>
      <c r="H9" s="5" t="s">
        <v>627</v>
      </c>
      <c r="I9" s="28" t="s">
        <v>79</v>
      </c>
    </row>
    <row r="10" spans="1:9" ht="28.8" x14ac:dyDescent="0.3">
      <c r="A10" s="27" t="s">
        <v>628</v>
      </c>
      <c r="B10" s="5" t="s">
        <v>41</v>
      </c>
      <c r="C10" s="5" t="s">
        <v>629</v>
      </c>
      <c r="D10" s="5" t="s">
        <v>20</v>
      </c>
      <c r="E10" s="5">
        <v>2020</v>
      </c>
      <c r="F10" s="13" t="s">
        <v>614</v>
      </c>
      <c r="G10" s="22">
        <v>46298</v>
      </c>
      <c r="H10" s="5" t="s">
        <v>79</v>
      </c>
      <c r="I10" s="28" t="s">
        <v>615</v>
      </c>
    </row>
    <row r="11" spans="1:9" ht="28.8" x14ac:dyDescent="0.3">
      <c r="A11" s="27" t="s">
        <v>631</v>
      </c>
      <c r="B11" s="5" t="s">
        <v>41</v>
      </c>
      <c r="C11" s="5" t="s">
        <v>630</v>
      </c>
      <c r="D11" s="5" t="s">
        <v>20</v>
      </c>
      <c r="E11" s="5">
        <v>2020</v>
      </c>
      <c r="F11" s="13" t="s">
        <v>614</v>
      </c>
      <c r="G11" s="22">
        <v>46298</v>
      </c>
      <c r="H11" s="5" t="s">
        <v>79</v>
      </c>
      <c r="I11" s="28" t="s">
        <v>615</v>
      </c>
    </row>
    <row r="12" spans="1:9" x14ac:dyDescent="0.3">
      <c r="A12" s="32" t="s">
        <v>632</v>
      </c>
      <c r="B12" s="34" t="s">
        <v>633</v>
      </c>
      <c r="C12" s="33" t="s">
        <v>634</v>
      </c>
      <c r="D12" s="34" t="s">
        <v>20</v>
      </c>
      <c r="E12" s="34">
        <v>2019</v>
      </c>
      <c r="F12" s="37" t="s">
        <v>635</v>
      </c>
      <c r="G12" s="38">
        <v>46298</v>
      </c>
      <c r="H12" s="34" t="s">
        <v>636</v>
      </c>
      <c r="I12" s="36" t="s">
        <v>79</v>
      </c>
    </row>
  </sheetData>
  <hyperlinks>
    <hyperlink ref="F2" r:id="rId1" xr:uid="{2DA5FD18-B48D-46EA-9FA9-524F260D2B7A}"/>
    <hyperlink ref="F4" r:id="rId2" xr:uid="{EEEA35DC-235D-45E5-9185-D37C98EF017B}"/>
    <hyperlink ref="F3" r:id="rId3" xr:uid="{CC5D2F21-D7A0-4252-8B56-0E951315C00A}"/>
    <hyperlink ref="F5" r:id="rId4" xr:uid="{5F75E448-E48F-4A89-B894-F9C8FADB184E}"/>
    <hyperlink ref="F6" r:id="rId5" xr:uid="{5E05FFDA-4CBB-41FF-9D94-EC5CD679BF32}"/>
    <hyperlink ref="F9" r:id="rId6" xr:uid="{C8349561-0A4E-4ABF-A9FB-1A3C698217DC}"/>
    <hyperlink ref="F10" r:id="rId7" xr:uid="{01C84DD3-4608-49E5-9BE3-B85346F4CD45}"/>
    <hyperlink ref="F11" r:id="rId8" xr:uid="{34586E19-C13D-4D7C-B5AB-13586A0C0BB6}"/>
    <hyperlink ref="F12" r:id="rId9" xr:uid="{E5198D45-0088-4F55-854C-E5FD3840DAAA}"/>
  </hyperlinks>
  <pageMargins left="0.75" right="0.75" top="1" bottom="1" header="0.5" footer="0.5"/>
  <pageSetup orientation="portrait" r:id="rId10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workbookViewId="0">
      <pane ySplit="1" topLeftCell="A35" activePane="bottomLeft" state="frozen"/>
      <selection pane="bottomLeft" activeCell="C21" sqref="C21"/>
    </sheetView>
  </sheetViews>
  <sheetFormatPr defaultRowHeight="14.4" x14ac:dyDescent="0.3"/>
  <cols>
    <col min="1" max="2" width="28" customWidth="1"/>
    <col min="3" max="3" width="48" customWidth="1"/>
    <col min="4" max="4" width="18" customWidth="1"/>
    <col min="5" max="5" width="15" customWidth="1"/>
    <col min="6" max="6" width="12" customWidth="1"/>
    <col min="7" max="7" width="18" customWidth="1"/>
    <col min="8" max="8" width="35" customWidth="1"/>
  </cols>
  <sheetData>
    <row r="1" spans="1:8" x14ac:dyDescent="0.3">
      <c r="A1" s="29" t="s">
        <v>21</v>
      </c>
      <c r="B1" s="30" t="s">
        <v>22</v>
      </c>
      <c r="C1" s="30" t="s">
        <v>23</v>
      </c>
      <c r="D1" s="30" t="s">
        <v>24</v>
      </c>
      <c r="E1" s="30" t="s">
        <v>25</v>
      </c>
      <c r="F1" s="30" t="s">
        <v>14</v>
      </c>
      <c r="G1" s="30" t="s">
        <v>26</v>
      </c>
      <c r="H1" s="31" t="s">
        <v>27</v>
      </c>
    </row>
    <row r="2" spans="1:8" ht="28.8" x14ac:dyDescent="0.3">
      <c r="A2" s="27" t="s">
        <v>19</v>
      </c>
      <c r="B2" s="6" t="s">
        <v>714</v>
      </c>
      <c r="C2" s="5" t="s">
        <v>650</v>
      </c>
      <c r="D2" s="5" t="s">
        <v>79</v>
      </c>
      <c r="E2" s="5" t="s">
        <v>28</v>
      </c>
      <c r="F2" s="26">
        <v>2020</v>
      </c>
      <c r="G2" s="5" t="s">
        <v>18</v>
      </c>
      <c r="H2" s="28" t="s">
        <v>79</v>
      </c>
    </row>
    <row r="3" spans="1:8" x14ac:dyDescent="0.3">
      <c r="A3" s="27" t="s">
        <v>19</v>
      </c>
      <c r="B3" s="6" t="s">
        <v>713</v>
      </c>
      <c r="C3" s="5" t="s">
        <v>651</v>
      </c>
      <c r="D3" s="5" t="s">
        <v>79</v>
      </c>
      <c r="E3" s="5" t="s">
        <v>28</v>
      </c>
      <c r="F3" s="26">
        <v>2020</v>
      </c>
      <c r="G3" s="5" t="s">
        <v>18</v>
      </c>
      <c r="H3" s="28" t="s">
        <v>79</v>
      </c>
    </row>
    <row r="4" spans="1:8" ht="28.8" x14ac:dyDescent="0.3">
      <c r="A4" s="27" t="s">
        <v>19</v>
      </c>
      <c r="B4" s="6" t="s">
        <v>712</v>
      </c>
      <c r="C4" s="5" t="s">
        <v>652</v>
      </c>
      <c r="D4" s="5" t="s">
        <v>79</v>
      </c>
      <c r="E4" s="5" t="s">
        <v>28</v>
      </c>
      <c r="F4" s="26">
        <v>2020</v>
      </c>
      <c r="G4" s="5" t="s">
        <v>18</v>
      </c>
      <c r="H4" s="28" t="s">
        <v>79</v>
      </c>
    </row>
    <row r="5" spans="1:8" x14ac:dyDescent="0.3">
      <c r="A5" s="27" t="s">
        <v>19</v>
      </c>
      <c r="B5" s="6" t="s">
        <v>711</v>
      </c>
      <c r="C5" s="5" t="s">
        <v>653</v>
      </c>
      <c r="D5" s="5" t="s">
        <v>79</v>
      </c>
      <c r="E5" s="5" t="s">
        <v>28</v>
      </c>
      <c r="F5" s="26">
        <v>2020</v>
      </c>
      <c r="G5" s="5" t="s">
        <v>18</v>
      </c>
      <c r="H5" s="28" t="s">
        <v>79</v>
      </c>
    </row>
    <row r="6" spans="1:8" ht="43.2" x14ac:dyDescent="0.3">
      <c r="A6" s="27" t="s">
        <v>19</v>
      </c>
      <c r="B6" s="6" t="s">
        <v>715</v>
      </c>
      <c r="C6" s="5" t="s">
        <v>654</v>
      </c>
      <c r="D6" s="5" t="s">
        <v>655</v>
      </c>
      <c r="E6" s="5" t="s">
        <v>29</v>
      </c>
      <c r="F6" s="26">
        <v>2020</v>
      </c>
      <c r="G6" s="5" t="s">
        <v>18</v>
      </c>
      <c r="H6" s="28" t="s">
        <v>656</v>
      </c>
    </row>
    <row r="7" spans="1:8" x14ac:dyDescent="0.3">
      <c r="A7" s="27" t="s">
        <v>19</v>
      </c>
      <c r="B7" s="6" t="s">
        <v>732</v>
      </c>
      <c r="C7" s="5" t="s">
        <v>657</v>
      </c>
      <c r="D7" s="5" t="s">
        <v>79</v>
      </c>
      <c r="E7" s="5" t="s">
        <v>28</v>
      </c>
      <c r="F7" s="26">
        <v>2020</v>
      </c>
      <c r="G7" s="5" t="s">
        <v>18</v>
      </c>
      <c r="H7" s="28" t="s">
        <v>79</v>
      </c>
    </row>
    <row r="8" spans="1:8" x14ac:dyDescent="0.3">
      <c r="A8" s="27" t="s">
        <v>19</v>
      </c>
      <c r="B8" s="6" t="s">
        <v>733</v>
      </c>
      <c r="C8" s="5" t="s">
        <v>658</v>
      </c>
      <c r="D8" s="5" t="s">
        <v>33</v>
      </c>
      <c r="E8" s="5" t="s">
        <v>29</v>
      </c>
      <c r="F8" s="26">
        <v>2020</v>
      </c>
      <c r="G8" s="5" t="s">
        <v>18</v>
      </c>
      <c r="H8" s="28" t="s">
        <v>79</v>
      </c>
    </row>
    <row r="9" spans="1:8" ht="28.8" x14ac:dyDescent="0.3">
      <c r="A9" s="27" t="s">
        <v>19</v>
      </c>
      <c r="B9" s="6" t="s">
        <v>734</v>
      </c>
      <c r="C9" s="5" t="s">
        <v>659</v>
      </c>
      <c r="D9" s="5" t="s">
        <v>79</v>
      </c>
      <c r="E9" s="5" t="s">
        <v>28</v>
      </c>
      <c r="F9" s="26">
        <v>2020</v>
      </c>
      <c r="G9" s="5" t="s">
        <v>660</v>
      </c>
      <c r="H9" s="28" t="s">
        <v>661</v>
      </c>
    </row>
    <row r="10" spans="1:8" x14ac:dyDescent="0.3">
      <c r="A10" s="27" t="s">
        <v>19</v>
      </c>
      <c r="B10" s="6" t="s">
        <v>717</v>
      </c>
      <c r="C10" s="5" t="s">
        <v>662</v>
      </c>
      <c r="D10" s="5" t="s">
        <v>79</v>
      </c>
      <c r="E10" s="5" t="s">
        <v>663</v>
      </c>
      <c r="F10" s="26">
        <v>2020</v>
      </c>
      <c r="G10" s="5" t="s">
        <v>79</v>
      </c>
      <c r="H10" s="28" t="s">
        <v>664</v>
      </c>
    </row>
    <row r="11" spans="1:8" x14ac:dyDescent="0.3">
      <c r="A11" s="27" t="s">
        <v>30</v>
      </c>
      <c r="B11" s="6" t="s">
        <v>720</v>
      </c>
      <c r="C11" s="5" t="s">
        <v>665</v>
      </c>
      <c r="D11" s="5" t="s">
        <v>79</v>
      </c>
      <c r="E11" s="5" t="s">
        <v>28</v>
      </c>
      <c r="F11" s="26">
        <v>2020</v>
      </c>
      <c r="G11" s="5" t="s">
        <v>80</v>
      </c>
      <c r="H11" s="28" t="s">
        <v>79</v>
      </c>
    </row>
    <row r="12" spans="1:8" x14ac:dyDescent="0.3">
      <c r="A12" s="27" t="s">
        <v>30</v>
      </c>
      <c r="B12" s="6" t="s">
        <v>721</v>
      </c>
      <c r="C12" s="5" t="s">
        <v>666</v>
      </c>
      <c r="D12" s="5" t="s">
        <v>79</v>
      </c>
      <c r="E12" s="5" t="s">
        <v>28</v>
      </c>
      <c r="F12" s="26">
        <v>2020</v>
      </c>
      <c r="G12" s="5" t="s">
        <v>80</v>
      </c>
      <c r="H12" s="28" t="s">
        <v>79</v>
      </c>
    </row>
    <row r="13" spans="1:8" x14ac:dyDescent="0.3">
      <c r="A13" s="27" t="s">
        <v>30</v>
      </c>
      <c r="B13" s="6" t="s">
        <v>723</v>
      </c>
      <c r="C13" s="5" t="s">
        <v>31</v>
      </c>
      <c r="D13" s="5" t="s">
        <v>667</v>
      </c>
      <c r="E13" s="5" t="s">
        <v>29</v>
      </c>
      <c r="F13" s="26">
        <v>2020</v>
      </c>
      <c r="G13" s="5" t="s">
        <v>80</v>
      </c>
      <c r="H13" s="28" t="s">
        <v>79</v>
      </c>
    </row>
    <row r="14" spans="1:8" x14ac:dyDescent="0.3">
      <c r="A14" s="27" t="s">
        <v>30</v>
      </c>
      <c r="B14" s="6" t="s">
        <v>727</v>
      </c>
      <c r="C14" s="5" t="s">
        <v>32</v>
      </c>
      <c r="D14" s="5" t="s">
        <v>33</v>
      </c>
      <c r="E14" s="5" t="s">
        <v>29</v>
      </c>
      <c r="F14" s="26">
        <v>2020</v>
      </c>
      <c r="G14" s="5" t="s">
        <v>80</v>
      </c>
      <c r="H14" s="28" t="s">
        <v>79</v>
      </c>
    </row>
    <row r="15" spans="1:8" x14ac:dyDescent="0.3">
      <c r="A15" s="27" t="s">
        <v>30</v>
      </c>
      <c r="B15" s="6" t="s">
        <v>728</v>
      </c>
      <c r="C15" s="5" t="s">
        <v>34</v>
      </c>
      <c r="D15" s="5" t="s">
        <v>33</v>
      </c>
      <c r="E15" s="5" t="s">
        <v>29</v>
      </c>
      <c r="F15" s="26">
        <v>2020</v>
      </c>
      <c r="G15" s="5" t="s">
        <v>80</v>
      </c>
      <c r="H15" s="28" t="s">
        <v>79</v>
      </c>
    </row>
    <row r="16" spans="1:8" x14ac:dyDescent="0.3">
      <c r="A16" s="27" t="s">
        <v>30</v>
      </c>
      <c r="B16" s="6" t="s">
        <v>729</v>
      </c>
      <c r="C16" s="5" t="s">
        <v>35</v>
      </c>
      <c r="D16" s="5" t="s">
        <v>33</v>
      </c>
      <c r="E16" s="5" t="s">
        <v>29</v>
      </c>
      <c r="F16" s="26">
        <v>2020</v>
      </c>
      <c r="G16" s="5" t="s">
        <v>80</v>
      </c>
      <c r="H16" s="28" t="s">
        <v>79</v>
      </c>
    </row>
    <row r="17" spans="1:8" x14ac:dyDescent="0.3">
      <c r="A17" s="27" t="s">
        <v>30</v>
      </c>
      <c r="B17" s="6" t="s">
        <v>730</v>
      </c>
      <c r="C17" s="5" t="s">
        <v>36</v>
      </c>
      <c r="D17" s="5" t="s">
        <v>681</v>
      </c>
      <c r="E17" s="5" t="s">
        <v>29</v>
      </c>
      <c r="F17" s="26">
        <v>2020</v>
      </c>
      <c r="G17" s="5" t="s">
        <v>80</v>
      </c>
      <c r="H17" s="28" t="s">
        <v>79</v>
      </c>
    </row>
    <row r="18" spans="1:8" ht="28.8" x14ac:dyDescent="0.3">
      <c r="A18" s="27" t="s">
        <v>30</v>
      </c>
      <c r="B18" s="6" t="s">
        <v>722</v>
      </c>
      <c r="C18" s="5" t="s">
        <v>37</v>
      </c>
      <c r="D18" s="5" t="s">
        <v>38</v>
      </c>
      <c r="E18" s="5" t="s">
        <v>29</v>
      </c>
      <c r="F18" s="5" t="s">
        <v>668</v>
      </c>
      <c r="G18" s="5" t="s">
        <v>707</v>
      </c>
      <c r="H18" s="28" t="s">
        <v>79</v>
      </c>
    </row>
    <row r="19" spans="1:8" x14ac:dyDescent="0.3">
      <c r="A19" s="27" t="s">
        <v>30</v>
      </c>
      <c r="B19" s="6" t="s">
        <v>725</v>
      </c>
      <c r="C19" s="5" t="s">
        <v>39</v>
      </c>
      <c r="D19" s="5" t="s">
        <v>38</v>
      </c>
      <c r="E19" s="5" t="s">
        <v>29</v>
      </c>
      <c r="F19" s="26">
        <v>2020</v>
      </c>
      <c r="G19" s="5" t="s">
        <v>707</v>
      </c>
      <c r="H19" s="28" t="s">
        <v>79</v>
      </c>
    </row>
    <row r="20" spans="1:8" x14ac:dyDescent="0.3">
      <c r="A20" s="27" t="s">
        <v>30</v>
      </c>
      <c r="B20" s="6" t="s">
        <v>731</v>
      </c>
      <c r="C20" s="5" t="s">
        <v>40</v>
      </c>
      <c r="D20" s="5" t="s">
        <v>669</v>
      </c>
      <c r="E20" s="5" t="s">
        <v>29</v>
      </c>
      <c r="F20" s="26">
        <v>2020</v>
      </c>
      <c r="G20" s="5" t="s">
        <v>87</v>
      </c>
      <c r="H20" s="28" t="s">
        <v>79</v>
      </c>
    </row>
    <row r="21" spans="1:8" ht="43.2" x14ac:dyDescent="0.3">
      <c r="A21" s="27" t="s">
        <v>30</v>
      </c>
      <c r="B21" s="6" t="s">
        <v>717</v>
      </c>
      <c r="C21" s="5" t="s">
        <v>670</v>
      </c>
      <c r="D21" s="5" t="s">
        <v>79</v>
      </c>
      <c r="E21" s="5" t="s">
        <v>663</v>
      </c>
      <c r="F21" s="26">
        <v>2020</v>
      </c>
      <c r="G21" s="5" t="s">
        <v>79</v>
      </c>
      <c r="H21" s="28" t="s">
        <v>671</v>
      </c>
    </row>
    <row r="22" spans="1:8" x14ac:dyDescent="0.3">
      <c r="A22" s="27" t="s">
        <v>41</v>
      </c>
      <c r="B22" s="6" t="s">
        <v>718</v>
      </c>
      <c r="C22" s="5" t="s">
        <v>672</v>
      </c>
      <c r="D22" s="5" t="s">
        <v>79</v>
      </c>
      <c r="E22" s="5" t="s">
        <v>28</v>
      </c>
      <c r="F22" s="26">
        <v>2020</v>
      </c>
      <c r="G22" s="5" t="s">
        <v>673</v>
      </c>
      <c r="H22" s="28" t="s">
        <v>79</v>
      </c>
    </row>
    <row r="23" spans="1:8" x14ac:dyDescent="0.3">
      <c r="A23" s="27" t="s">
        <v>41</v>
      </c>
      <c r="B23" s="6" t="s">
        <v>719</v>
      </c>
      <c r="C23" s="5" t="s">
        <v>674</v>
      </c>
      <c r="D23" s="5" t="s">
        <v>79</v>
      </c>
      <c r="E23" s="5" t="s">
        <v>28</v>
      </c>
      <c r="F23" s="26">
        <v>2020</v>
      </c>
      <c r="G23" s="5" t="s">
        <v>673</v>
      </c>
      <c r="H23" s="28" t="s">
        <v>79</v>
      </c>
    </row>
    <row r="24" spans="1:8" x14ac:dyDescent="0.3">
      <c r="A24" s="27" t="s">
        <v>41</v>
      </c>
      <c r="B24" s="6" t="s">
        <v>720</v>
      </c>
      <c r="C24" s="5" t="s">
        <v>675</v>
      </c>
      <c r="D24" s="5" t="s">
        <v>79</v>
      </c>
      <c r="E24" s="5" t="s">
        <v>663</v>
      </c>
      <c r="F24" s="26">
        <v>2020</v>
      </c>
      <c r="G24" s="5" t="s">
        <v>79</v>
      </c>
      <c r="H24" s="28" t="s">
        <v>676</v>
      </c>
    </row>
    <row r="25" spans="1:8" x14ac:dyDescent="0.3">
      <c r="A25" s="27" t="s">
        <v>41</v>
      </c>
      <c r="B25" s="6" t="s">
        <v>721</v>
      </c>
      <c r="C25" s="5" t="s">
        <v>666</v>
      </c>
      <c r="D25" s="5" t="s">
        <v>79</v>
      </c>
      <c r="E25" s="5" t="s">
        <v>28</v>
      </c>
      <c r="F25" s="26">
        <v>2020</v>
      </c>
      <c r="G25" s="5" t="s">
        <v>673</v>
      </c>
      <c r="H25" s="28" t="s">
        <v>79</v>
      </c>
    </row>
    <row r="26" spans="1:8" x14ac:dyDescent="0.3">
      <c r="A26" s="27" t="s">
        <v>41</v>
      </c>
      <c r="B26" s="6" t="s">
        <v>731</v>
      </c>
      <c r="C26" s="5" t="s">
        <v>40</v>
      </c>
      <c r="D26" s="5" t="s">
        <v>669</v>
      </c>
      <c r="E26" s="5" t="s">
        <v>29</v>
      </c>
      <c r="F26" s="26">
        <v>2020</v>
      </c>
      <c r="G26" s="5" t="s">
        <v>708</v>
      </c>
      <c r="H26" s="28" t="s">
        <v>79</v>
      </c>
    </row>
    <row r="27" spans="1:8" ht="28.8" x14ac:dyDescent="0.3">
      <c r="A27" s="27" t="s">
        <v>41</v>
      </c>
      <c r="B27" s="6" t="s">
        <v>722</v>
      </c>
      <c r="C27" s="5" t="s">
        <v>677</v>
      </c>
      <c r="D27" s="5" t="s">
        <v>38</v>
      </c>
      <c r="E27" s="5" t="s">
        <v>29</v>
      </c>
      <c r="F27" s="5" t="s">
        <v>668</v>
      </c>
      <c r="G27" s="5" t="s">
        <v>612</v>
      </c>
      <c r="H27" s="28" t="s">
        <v>79</v>
      </c>
    </row>
    <row r="28" spans="1:8" ht="28.8" x14ac:dyDescent="0.3">
      <c r="A28" s="27" t="s">
        <v>41</v>
      </c>
      <c r="B28" s="6" t="s">
        <v>723</v>
      </c>
      <c r="C28" s="5" t="s">
        <v>678</v>
      </c>
      <c r="D28" s="5" t="s">
        <v>667</v>
      </c>
      <c r="E28" s="5" t="s">
        <v>29</v>
      </c>
      <c r="F28" s="26">
        <v>2020</v>
      </c>
      <c r="G28" s="5" t="s">
        <v>679</v>
      </c>
      <c r="H28" s="28" t="s">
        <v>79</v>
      </c>
    </row>
    <row r="29" spans="1:8" x14ac:dyDescent="0.3">
      <c r="A29" s="27" t="s">
        <v>41</v>
      </c>
      <c r="B29" s="6" t="s">
        <v>724</v>
      </c>
      <c r="C29" s="5" t="s">
        <v>680</v>
      </c>
      <c r="D29" s="5" t="s">
        <v>681</v>
      </c>
      <c r="E29" s="5" t="s">
        <v>29</v>
      </c>
      <c r="F29" s="26">
        <v>2020</v>
      </c>
      <c r="G29" s="5" t="s">
        <v>624</v>
      </c>
      <c r="H29" s="28" t="s">
        <v>79</v>
      </c>
    </row>
    <row r="30" spans="1:8" x14ac:dyDescent="0.3">
      <c r="A30" s="27" t="s">
        <v>41</v>
      </c>
      <c r="B30" s="6" t="s">
        <v>725</v>
      </c>
      <c r="C30" s="5" t="s">
        <v>39</v>
      </c>
      <c r="D30" s="5" t="s">
        <v>38</v>
      </c>
      <c r="E30" s="5" t="s">
        <v>29</v>
      </c>
      <c r="F30" s="26">
        <v>2020</v>
      </c>
      <c r="G30" s="5" t="s">
        <v>628</v>
      </c>
      <c r="H30" s="28" t="s">
        <v>79</v>
      </c>
    </row>
    <row r="31" spans="1:8" x14ac:dyDescent="0.3">
      <c r="A31" s="27" t="s">
        <v>41</v>
      </c>
      <c r="B31" s="6" t="s">
        <v>726</v>
      </c>
      <c r="C31" s="5" t="s">
        <v>682</v>
      </c>
      <c r="D31" s="5" t="s">
        <v>655</v>
      </c>
      <c r="E31" s="5" t="s">
        <v>29</v>
      </c>
      <c r="F31" s="26">
        <v>2020</v>
      </c>
      <c r="G31" s="5" t="s">
        <v>631</v>
      </c>
      <c r="H31" s="28" t="s">
        <v>79</v>
      </c>
    </row>
    <row r="32" spans="1:8" ht="28.8" x14ac:dyDescent="0.3">
      <c r="A32" s="27" t="s">
        <v>41</v>
      </c>
      <c r="B32" s="6" t="s">
        <v>717</v>
      </c>
      <c r="C32" s="5" t="s">
        <v>670</v>
      </c>
      <c r="D32" s="5" t="s">
        <v>79</v>
      </c>
      <c r="E32" s="5" t="s">
        <v>663</v>
      </c>
      <c r="F32" s="26">
        <v>2020</v>
      </c>
      <c r="G32" s="5" t="s">
        <v>79</v>
      </c>
      <c r="H32" s="28" t="s">
        <v>683</v>
      </c>
    </row>
    <row r="33" spans="1:8" x14ac:dyDescent="0.3">
      <c r="A33" s="27" t="s">
        <v>633</v>
      </c>
      <c r="B33" s="6" t="s">
        <v>714</v>
      </c>
      <c r="C33" s="5" t="s">
        <v>684</v>
      </c>
      <c r="D33" s="5" t="s">
        <v>79</v>
      </c>
      <c r="E33" s="5" t="s">
        <v>28</v>
      </c>
      <c r="F33" s="26">
        <v>2019</v>
      </c>
      <c r="G33" s="5" t="s">
        <v>632</v>
      </c>
      <c r="H33" s="28" t="s">
        <v>79</v>
      </c>
    </row>
    <row r="34" spans="1:8" x14ac:dyDescent="0.3">
      <c r="A34" s="27" t="s">
        <v>633</v>
      </c>
      <c r="B34" s="6" t="s">
        <v>713</v>
      </c>
      <c r="C34" s="5" t="s">
        <v>685</v>
      </c>
      <c r="D34" s="5" t="s">
        <v>79</v>
      </c>
      <c r="E34" s="5" t="s">
        <v>28</v>
      </c>
      <c r="F34" s="26">
        <v>2019</v>
      </c>
      <c r="G34" s="5" t="s">
        <v>632</v>
      </c>
      <c r="H34" s="28" t="s">
        <v>79</v>
      </c>
    </row>
    <row r="35" spans="1:8" x14ac:dyDescent="0.3">
      <c r="A35" s="27" t="s">
        <v>633</v>
      </c>
      <c r="B35" s="6" t="s">
        <v>712</v>
      </c>
      <c r="C35" s="5" t="s">
        <v>686</v>
      </c>
      <c r="D35" s="5" t="s">
        <v>79</v>
      </c>
      <c r="E35" s="5" t="s">
        <v>28</v>
      </c>
      <c r="F35" s="26">
        <v>2019</v>
      </c>
      <c r="G35" s="5" t="s">
        <v>632</v>
      </c>
      <c r="H35" s="28" t="s">
        <v>79</v>
      </c>
    </row>
    <row r="36" spans="1:8" x14ac:dyDescent="0.3">
      <c r="A36" s="27" t="s">
        <v>633</v>
      </c>
      <c r="B36" s="6" t="s">
        <v>711</v>
      </c>
      <c r="C36" s="5" t="s">
        <v>687</v>
      </c>
      <c r="D36" s="5" t="s">
        <v>79</v>
      </c>
      <c r="E36" s="5" t="s">
        <v>28</v>
      </c>
      <c r="F36" s="26">
        <v>2019</v>
      </c>
      <c r="G36" s="5" t="s">
        <v>632</v>
      </c>
      <c r="H36" s="28" t="s">
        <v>79</v>
      </c>
    </row>
    <row r="37" spans="1:8" x14ac:dyDescent="0.3">
      <c r="A37" s="27" t="s">
        <v>633</v>
      </c>
      <c r="B37" s="6" t="s">
        <v>716</v>
      </c>
      <c r="C37" s="5" t="s">
        <v>688</v>
      </c>
      <c r="D37" s="5" t="s">
        <v>655</v>
      </c>
      <c r="E37" s="5" t="s">
        <v>29</v>
      </c>
      <c r="F37" s="26">
        <v>2019</v>
      </c>
      <c r="G37" s="5" t="s">
        <v>632</v>
      </c>
      <c r="H37" s="28" t="s">
        <v>79</v>
      </c>
    </row>
    <row r="38" spans="1:8" x14ac:dyDescent="0.3">
      <c r="A38" s="27" t="s">
        <v>633</v>
      </c>
      <c r="B38" s="6" t="s">
        <v>717</v>
      </c>
      <c r="C38" s="5" t="s">
        <v>670</v>
      </c>
      <c r="D38" s="5" t="s">
        <v>79</v>
      </c>
      <c r="E38" s="5" t="s">
        <v>663</v>
      </c>
      <c r="F38" s="26">
        <v>2019</v>
      </c>
      <c r="G38" s="5" t="s">
        <v>79</v>
      </c>
      <c r="H38" s="28" t="s">
        <v>689</v>
      </c>
    </row>
    <row r="39" spans="1:8" ht="28.8" x14ac:dyDescent="0.3">
      <c r="A39" s="27" t="s">
        <v>690</v>
      </c>
      <c r="B39" s="6" t="s">
        <v>714</v>
      </c>
      <c r="C39" s="5" t="s">
        <v>691</v>
      </c>
      <c r="D39" s="5" t="s">
        <v>79</v>
      </c>
      <c r="E39" s="5" t="s">
        <v>28</v>
      </c>
      <c r="F39" s="26">
        <v>2020</v>
      </c>
      <c r="G39" s="5" t="s">
        <v>18</v>
      </c>
      <c r="H39" s="28" t="s">
        <v>692</v>
      </c>
    </row>
    <row r="40" spans="1:8" x14ac:dyDescent="0.3">
      <c r="A40" s="27" t="s">
        <v>690</v>
      </c>
      <c r="B40" s="6" t="s">
        <v>713</v>
      </c>
      <c r="C40" s="5" t="s">
        <v>651</v>
      </c>
      <c r="D40" s="5" t="s">
        <v>79</v>
      </c>
      <c r="E40" s="5" t="s">
        <v>28</v>
      </c>
      <c r="F40" s="26">
        <v>2020</v>
      </c>
      <c r="G40" s="5" t="s">
        <v>18</v>
      </c>
      <c r="H40" s="28" t="s">
        <v>693</v>
      </c>
    </row>
    <row r="41" spans="1:8" x14ac:dyDescent="0.3">
      <c r="A41" s="27" t="s">
        <v>690</v>
      </c>
      <c r="B41" s="6" t="s">
        <v>712</v>
      </c>
      <c r="C41" s="5" t="s">
        <v>694</v>
      </c>
      <c r="D41" s="5" t="s">
        <v>79</v>
      </c>
      <c r="E41" s="5" t="s">
        <v>28</v>
      </c>
      <c r="F41" s="26">
        <v>2020</v>
      </c>
      <c r="G41" s="5" t="s">
        <v>18</v>
      </c>
      <c r="H41" s="28" t="s">
        <v>693</v>
      </c>
    </row>
    <row r="42" spans="1:8" x14ac:dyDescent="0.3">
      <c r="A42" s="27" t="s">
        <v>690</v>
      </c>
      <c r="B42" s="6" t="s">
        <v>711</v>
      </c>
      <c r="C42" s="5" t="s">
        <v>653</v>
      </c>
      <c r="D42" s="5" t="s">
        <v>79</v>
      </c>
      <c r="E42" s="5" t="s">
        <v>28</v>
      </c>
      <c r="F42" s="26">
        <v>2020</v>
      </c>
      <c r="G42" s="5" t="s">
        <v>18</v>
      </c>
      <c r="H42" s="28" t="s">
        <v>693</v>
      </c>
    </row>
    <row r="43" spans="1:8" ht="28.8" x14ac:dyDescent="0.3">
      <c r="A43" s="27" t="s">
        <v>690</v>
      </c>
      <c r="B43" s="6" t="s">
        <v>715</v>
      </c>
      <c r="C43" s="5" t="s">
        <v>695</v>
      </c>
      <c r="D43" s="5" t="s">
        <v>655</v>
      </c>
      <c r="E43" s="5" t="s">
        <v>29</v>
      </c>
      <c r="F43" s="26">
        <v>2020</v>
      </c>
      <c r="G43" s="5" t="s">
        <v>18</v>
      </c>
      <c r="H43" s="28" t="s">
        <v>696</v>
      </c>
    </row>
    <row r="44" spans="1:8" x14ac:dyDescent="0.3">
      <c r="A44" s="27" t="s">
        <v>697</v>
      </c>
      <c r="B44" s="6" t="s">
        <v>714</v>
      </c>
      <c r="C44" s="5" t="s">
        <v>698</v>
      </c>
      <c r="D44" s="5" t="s">
        <v>79</v>
      </c>
      <c r="E44" s="5" t="s">
        <v>28</v>
      </c>
      <c r="F44" s="26">
        <v>2020</v>
      </c>
      <c r="G44" s="5" t="s">
        <v>18</v>
      </c>
      <c r="H44" s="28" t="s">
        <v>693</v>
      </c>
    </row>
    <row r="45" spans="1:8" x14ac:dyDescent="0.3">
      <c r="A45" s="27" t="s">
        <v>697</v>
      </c>
      <c r="B45" s="6" t="s">
        <v>713</v>
      </c>
      <c r="C45" s="5" t="s">
        <v>699</v>
      </c>
      <c r="D45" s="5" t="s">
        <v>79</v>
      </c>
      <c r="E45" s="5" t="s">
        <v>28</v>
      </c>
      <c r="F45" s="26">
        <v>2020</v>
      </c>
      <c r="G45" s="5" t="s">
        <v>18</v>
      </c>
      <c r="H45" s="28" t="s">
        <v>693</v>
      </c>
    </row>
    <row r="46" spans="1:8" x14ac:dyDescent="0.3">
      <c r="A46" s="27" t="s">
        <v>697</v>
      </c>
      <c r="B46" s="6" t="s">
        <v>712</v>
      </c>
      <c r="C46" s="5" t="s">
        <v>700</v>
      </c>
      <c r="D46" s="5" t="s">
        <v>79</v>
      </c>
      <c r="E46" s="5" t="s">
        <v>28</v>
      </c>
      <c r="F46" s="26">
        <v>2020</v>
      </c>
      <c r="G46" s="5" t="s">
        <v>18</v>
      </c>
      <c r="H46" s="28" t="s">
        <v>693</v>
      </c>
    </row>
    <row r="47" spans="1:8" x14ac:dyDescent="0.3">
      <c r="A47" s="27" t="s">
        <v>697</v>
      </c>
      <c r="B47" s="6" t="s">
        <v>711</v>
      </c>
      <c r="C47" s="5" t="s">
        <v>701</v>
      </c>
      <c r="D47" s="5" t="s">
        <v>79</v>
      </c>
      <c r="E47" s="5" t="s">
        <v>28</v>
      </c>
      <c r="F47" s="26">
        <v>2020</v>
      </c>
      <c r="G47" s="5" t="s">
        <v>18</v>
      </c>
      <c r="H47" s="28" t="s">
        <v>693</v>
      </c>
    </row>
    <row r="48" spans="1:8" ht="28.8" x14ac:dyDescent="0.3">
      <c r="A48" s="27" t="s">
        <v>697</v>
      </c>
      <c r="B48" s="6" t="s">
        <v>709</v>
      </c>
      <c r="C48" s="5" t="s">
        <v>702</v>
      </c>
      <c r="D48" s="5" t="s">
        <v>655</v>
      </c>
      <c r="E48" s="5" t="s">
        <v>29</v>
      </c>
      <c r="F48" s="26">
        <v>2020</v>
      </c>
      <c r="G48" s="5" t="s">
        <v>18</v>
      </c>
      <c r="H48" s="28" t="s">
        <v>703</v>
      </c>
    </row>
    <row r="49" spans="1:8" ht="28.8" x14ac:dyDescent="0.3">
      <c r="A49" s="32" t="s">
        <v>697</v>
      </c>
      <c r="B49" s="33" t="s">
        <v>710</v>
      </c>
      <c r="C49" s="34" t="s">
        <v>704</v>
      </c>
      <c r="D49" s="34" t="s">
        <v>705</v>
      </c>
      <c r="E49" s="34" t="s">
        <v>29</v>
      </c>
      <c r="F49" s="35">
        <v>2020</v>
      </c>
      <c r="G49" s="34" t="s">
        <v>706</v>
      </c>
      <c r="H49" s="36" t="s">
        <v>79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57"/>
  <sheetViews>
    <sheetView workbookViewId="0">
      <pane ySplit="1" topLeftCell="A17" activePane="bottomLeft" state="frozen"/>
      <selection pane="bottomLeft" activeCell="K5" sqref="K5"/>
    </sheetView>
  </sheetViews>
  <sheetFormatPr defaultRowHeight="14.4" x14ac:dyDescent="0.3"/>
  <cols>
    <col min="1" max="1" width="13" customWidth="1"/>
    <col min="2" max="2" width="25" customWidth="1"/>
    <col min="3" max="3" width="15" customWidth="1"/>
    <col min="4" max="4" width="25" customWidth="1"/>
    <col min="5" max="6" width="18" customWidth="1"/>
    <col min="7" max="7" width="12" customWidth="1"/>
    <col min="8" max="8" width="22" customWidth="1"/>
    <col min="9" max="9" width="14" customWidth="1"/>
  </cols>
  <sheetData>
    <row r="1" spans="1:9" x14ac:dyDescent="0.3">
      <c r="A1" t="s">
        <v>714</v>
      </c>
      <c r="B1" t="s">
        <v>713</v>
      </c>
      <c r="C1" t="s">
        <v>712</v>
      </c>
      <c r="D1" t="s">
        <v>711</v>
      </c>
      <c r="E1" t="s">
        <v>715</v>
      </c>
      <c r="F1" t="s">
        <v>732</v>
      </c>
      <c r="G1" t="s">
        <v>733</v>
      </c>
      <c r="H1" t="s">
        <v>734</v>
      </c>
      <c r="I1" t="s">
        <v>717</v>
      </c>
    </row>
    <row r="2" spans="1:9" x14ac:dyDescent="0.3">
      <c r="A2" s="1">
        <v>11</v>
      </c>
      <c r="B2" s="1" t="s">
        <v>42</v>
      </c>
      <c r="C2" s="1">
        <v>11</v>
      </c>
      <c r="D2" s="1" t="s">
        <v>42</v>
      </c>
      <c r="E2" s="8">
        <v>4876719</v>
      </c>
      <c r="F2" s="1" t="s">
        <v>81</v>
      </c>
      <c r="G2" s="1">
        <v>2020</v>
      </c>
      <c r="H2" s="1" t="str">
        <f>IF(tblFLOWOD[[#This Row],[nama_asal]]=tblFLOWOD[[#This Row],[nama_tujuan]],"keluar","isi")</f>
        <v>keluar</v>
      </c>
      <c r="I2" s="1" t="str">
        <f>METADATA_SOURCES!$A$2</f>
        <v>SRC001</v>
      </c>
    </row>
    <row r="3" spans="1:9" x14ac:dyDescent="0.3">
      <c r="A3" s="1">
        <v>11</v>
      </c>
      <c r="B3" s="1" t="s">
        <v>42</v>
      </c>
      <c r="C3" s="1">
        <v>12</v>
      </c>
      <c r="D3" s="1" t="s">
        <v>43</v>
      </c>
      <c r="E3" s="8">
        <v>14485</v>
      </c>
      <c r="F3" s="1" t="s">
        <v>81</v>
      </c>
      <c r="G3" s="1">
        <v>2020</v>
      </c>
      <c r="H3" s="1" t="str">
        <f>IF(tblFLOWOD[[#This Row],[nama_asal]]=tblFLOWOD[[#This Row],[nama_tujuan]],"keluar","isi")</f>
        <v>isi</v>
      </c>
      <c r="I3" s="1" t="str">
        <f>METADATA_SOURCES!$A$2</f>
        <v>SRC001</v>
      </c>
    </row>
    <row r="4" spans="1:9" x14ac:dyDescent="0.3">
      <c r="A4" s="1">
        <v>11</v>
      </c>
      <c r="B4" s="1" t="s">
        <v>42</v>
      </c>
      <c r="C4" s="1">
        <v>13</v>
      </c>
      <c r="D4" s="1" t="s">
        <v>44</v>
      </c>
      <c r="E4" s="8">
        <v>2161</v>
      </c>
      <c r="F4" s="1" t="s">
        <v>81</v>
      </c>
      <c r="G4" s="1">
        <v>2020</v>
      </c>
      <c r="H4" s="1" t="str">
        <f>IF(tblFLOWOD[[#This Row],[nama_asal]]=tblFLOWOD[[#This Row],[nama_tujuan]],"keluar","isi")</f>
        <v>isi</v>
      </c>
      <c r="I4" s="1" t="str">
        <f>METADATA_SOURCES!$A$2</f>
        <v>SRC001</v>
      </c>
    </row>
    <row r="5" spans="1:9" x14ac:dyDescent="0.3">
      <c r="A5" s="1">
        <v>11</v>
      </c>
      <c r="B5" s="1" t="s">
        <v>42</v>
      </c>
      <c r="C5" s="1">
        <v>14</v>
      </c>
      <c r="D5" s="1" t="s">
        <v>45</v>
      </c>
      <c r="E5" s="8">
        <v>2363</v>
      </c>
      <c r="F5" s="1" t="s">
        <v>81</v>
      </c>
      <c r="G5" s="1">
        <v>2020</v>
      </c>
      <c r="H5" s="1" t="str">
        <f>IF(tblFLOWOD[[#This Row],[nama_asal]]=tblFLOWOD[[#This Row],[nama_tujuan]],"keluar","isi")</f>
        <v>isi</v>
      </c>
      <c r="I5" s="1" t="str">
        <f>METADATA_SOURCES!$A$2</f>
        <v>SRC001</v>
      </c>
    </row>
    <row r="6" spans="1:9" x14ac:dyDescent="0.3">
      <c r="A6" s="1">
        <v>11</v>
      </c>
      <c r="B6" s="1" t="s">
        <v>42</v>
      </c>
      <c r="C6" s="1">
        <v>15</v>
      </c>
      <c r="D6" s="1" t="s">
        <v>46</v>
      </c>
      <c r="E6" s="8">
        <v>432</v>
      </c>
      <c r="F6" s="1" t="s">
        <v>81</v>
      </c>
      <c r="G6" s="1">
        <v>2020</v>
      </c>
      <c r="H6" s="1" t="str">
        <f>IF(tblFLOWOD[[#This Row],[nama_asal]]=tblFLOWOD[[#This Row],[nama_tujuan]],"keluar","isi")</f>
        <v>isi</v>
      </c>
      <c r="I6" s="1" t="str">
        <f>METADATA_SOURCES!$A$2</f>
        <v>SRC001</v>
      </c>
    </row>
    <row r="7" spans="1:9" x14ac:dyDescent="0.3">
      <c r="A7" s="1">
        <v>11</v>
      </c>
      <c r="B7" s="1" t="s">
        <v>42</v>
      </c>
      <c r="C7" s="1">
        <v>16</v>
      </c>
      <c r="D7" s="1" t="s">
        <v>47</v>
      </c>
      <c r="E7" s="8">
        <v>1024</v>
      </c>
      <c r="F7" s="1" t="s">
        <v>81</v>
      </c>
      <c r="G7" s="1">
        <v>2020</v>
      </c>
      <c r="H7" s="1" t="str">
        <f>IF(tblFLOWOD[[#This Row],[nama_asal]]=tblFLOWOD[[#This Row],[nama_tujuan]],"keluar","isi")</f>
        <v>isi</v>
      </c>
      <c r="I7" s="1" t="str">
        <f>METADATA_SOURCES!$A$2</f>
        <v>SRC001</v>
      </c>
    </row>
    <row r="8" spans="1:9" x14ac:dyDescent="0.3">
      <c r="A8" s="1">
        <v>11</v>
      </c>
      <c r="B8" s="1" t="s">
        <v>42</v>
      </c>
      <c r="C8" s="1">
        <v>17</v>
      </c>
      <c r="D8" s="1" t="s">
        <v>48</v>
      </c>
      <c r="E8" s="8">
        <v>318</v>
      </c>
      <c r="F8" s="1" t="s">
        <v>81</v>
      </c>
      <c r="G8" s="1">
        <v>2020</v>
      </c>
      <c r="H8" s="1" t="str">
        <f>IF(tblFLOWOD[[#This Row],[nama_asal]]=tblFLOWOD[[#This Row],[nama_tujuan]],"keluar","isi")</f>
        <v>isi</v>
      </c>
      <c r="I8" s="1" t="str">
        <f>METADATA_SOURCES!$A$2</f>
        <v>SRC001</v>
      </c>
    </row>
    <row r="9" spans="1:9" x14ac:dyDescent="0.3">
      <c r="A9" s="1">
        <v>11</v>
      </c>
      <c r="B9" s="1" t="s">
        <v>42</v>
      </c>
      <c r="C9" s="1">
        <v>18</v>
      </c>
      <c r="D9" s="1" t="s">
        <v>49</v>
      </c>
      <c r="E9" s="8">
        <v>503</v>
      </c>
      <c r="F9" s="1" t="s">
        <v>81</v>
      </c>
      <c r="G9" s="1">
        <v>2020</v>
      </c>
      <c r="H9" s="1" t="str">
        <f>IF(tblFLOWOD[[#This Row],[nama_asal]]=tblFLOWOD[[#This Row],[nama_tujuan]],"keluar","isi")</f>
        <v>isi</v>
      </c>
      <c r="I9" s="1" t="str">
        <f>METADATA_SOURCES!$A$2</f>
        <v>SRC001</v>
      </c>
    </row>
    <row r="10" spans="1:9" x14ac:dyDescent="0.3">
      <c r="A10" s="1">
        <v>11</v>
      </c>
      <c r="B10" s="1" t="s">
        <v>42</v>
      </c>
      <c r="C10" s="1">
        <v>19</v>
      </c>
      <c r="D10" s="1" t="s">
        <v>50</v>
      </c>
      <c r="E10" s="8">
        <v>51</v>
      </c>
      <c r="F10" s="1" t="s">
        <v>81</v>
      </c>
      <c r="G10" s="1">
        <v>2020</v>
      </c>
      <c r="H10" s="1" t="str">
        <f>IF(tblFLOWOD[[#This Row],[nama_asal]]=tblFLOWOD[[#This Row],[nama_tujuan]],"keluar","isi")</f>
        <v>isi</v>
      </c>
      <c r="I10" s="1" t="str">
        <f>METADATA_SOURCES!$A$2</f>
        <v>SRC001</v>
      </c>
    </row>
    <row r="11" spans="1:9" x14ac:dyDescent="0.3">
      <c r="A11" s="1">
        <v>11</v>
      </c>
      <c r="B11" s="1" t="s">
        <v>42</v>
      </c>
      <c r="C11" s="1">
        <v>21</v>
      </c>
      <c r="D11" s="1" t="s">
        <v>51</v>
      </c>
      <c r="E11" s="8">
        <v>1871</v>
      </c>
      <c r="F11" s="1" t="s">
        <v>81</v>
      </c>
      <c r="G11" s="1">
        <v>2020</v>
      </c>
      <c r="H11" s="1" t="str">
        <f>IF(tblFLOWOD[[#This Row],[nama_asal]]=tblFLOWOD[[#This Row],[nama_tujuan]],"keluar","isi")</f>
        <v>isi</v>
      </c>
      <c r="I11" s="1" t="str">
        <f>METADATA_SOURCES!$A$2</f>
        <v>SRC001</v>
      </c>
    </row>
    <row r="12" spans="1:9" x14ac:dyDescent="0.3">
      <c r="A12" s="1">
        <v>11</v>
      </c>
      <c r="B12" s="1" t="s">
        <v>42</v>
      </c>
      <c r="C12" s="1">
        <v>31</v>
      </c>
      <c r="D12" s="1" t="s">
        <v>52</v>
      </c>
      <c r="E12" s="8">
        <v>949</v>
      </c>
      <c r="F12" s="1" t="s">
        <v>81</v>
      </c>
      <c r="G12" s="1">
        <v>2020</v>
      </c>
      <c r="H12" s="1" t="str">
        <f>IF(tblFLOWOD[[#This Row],[nama_asal]]=tblFLOWOD[[#This Row],[nama_tujuan]],"keluar","isi")</f>
        <v>isi</v>
      </c>
      <c r="I12" s="1" t="str">
        <f>METADATA_SOURCES!$A$2</f>
        <v>SRC001</v>
      </c>
    </row>
    <row r="13" spans="1:9" x14ac:dyDescent="0.3">
      <c r="A13" s="1">
        <v>11</v>
      </c>
      <c r="B13" s="1" t="s">
        <v>42</v>
      </c>
      <c r="C13" s="1">
        <v>32</v>
      </c>
      <c r="D13" s="1" t="s">
        <v>53</v>
      </c>
      <c r="E13" s="8">
        <v>3728</v>
      </c>
      <c r="F13" s="1" t="s">
        <v>81</v>
      </c>
      <c r="G13" s="1">
        <v>2020</v>
      </c>
      <c r="H13" s="1" t="str">
        <f>IF(tblFLOWOD[[#This Row],[nama_asal]]=tblFLOWOD[[#This Row],[nama_tujuan]],"keluar","isi")</f>
        <v>isi</v>
      </c>
      <c r="I13" s="1" t="str">
        <f>METADATA_SOURCES!$A$2</f>
        <v>SRC001</v>
      </c>
    </row>
    <row r="14" spans="1:9" x14ac:dyDescent="0.3">
      <c r="A14" s="1">
        <v>11</v>
      </c>
      <c r="B14" s="1" t="s">
        <v>42</v>
      </c>
      <c r="C14" s="1">
        <v>33</v>
      </c>
      <c r="D14" s="1" t="s">
        <v>54</v>
      </c>
      <c r="E14" s="8">
        <v>2733</v>
      </c>
      <c r="F14" s="1" t="s">
        <v>81</v>
      </c>
      <c r="G14" s="1">
        <v>2020</v>
      </c>
      <c r="H14" s="1" t="str">
        <f>IF(tblFLOWOD[[#This Row],[nama_asal]]=tblFLOWOD[[#This Row],[nama_tujuan]],"keluar","isi")</f>
        <v>isi</v>
      </c>
      <c r="I14" s="1" t="str">
        <f>METADATA_SOURCES!$A$2</f>
        <v>SRC001</v>
      </c>
    </row>
    <row r="15" spans="1:9" x14ac:dyDescent="0.3">
      <c r="A15" s="1">
        <v>11</v>
      </c>
      <c r="B15" s="1" t="s">
        <v>42</v>
      </c>
      <c r="C15" s="1">
        <v>34</v>
      </c>
      <c r="D15" s="1" t="s">
        <v>55</v>
      </c>
      <c r="E15" s="8">
        <v>808</v>
      </c>
      <c r="F15" s="1" t="s">
        <v>81</v>
      </c>
      <c r="G15" s="1">
        <v>2020</v>
      </c>
      <c r="H15" s="1" t="str">
        <f>IF(tblFLOWOD[[#This Row],[nama_asal]]=tblFLOWOD[[#This Row],[nama_tujuan]],"keluar","isi")</f>
        <v>isi</v>
      </c>
      <c r="I15" s="1" t="str">
        <f>METADATA_SOURCES!$A$2</f>
        <v>SRC001</v>
      </c>
    </row>
    <row r="16" spans="1:9" x14ac:dyDescent="0.3">
      <c r="A16" s="1">
        <v>11</v>
      </c>
      <c r="B16" s="1" t="s">
        <v>42</v>
      </c>
      <c r="C16" s="1">
        <v>35</v>
      </c>
      <c r="D16" s="1" t="s">
        <v>56</v>
      </c>
      <c r="E16" s="8">
        <v>1799</v>
      </c>
      <c r="F16" s="1" t="s">
        <v>81</v>
      </c>
      <c r="G16" s="1">
        <v>2020</v>
      </c>
      <c r="H16" s="1" t="str">
        <f>IF(tblFLOWOD[[#This Row],[nama_asal]]=tblFLOWOD[[#This Row],[nama_tujuan]],"keluar","isi")</f>
        <v>isi</v>
      </c>
      <c r="I16" s="1" t="str">
        <f>METADATA_SOURCES!$A$2</f>
        <v>SRC001</v>
      </c>
    </row>
    <row r="17" spans="1:9" x14ac:dyDescent="0.3">
      <c r="A17" s="1">
        <v>11</v>
      </c>
      <c r="B17" s="1" t="s">
        <v>42</v>
      </c>
      <c r="C17" s="1">
        <v>36</v>
      </c>
      <c r="D17" s="1" t="s">
        <v>57</v>
      </c>
      <c r="E17" s="8">
        <v>774</v>
      </c>
      <c r="F17" s="1" t="s">
        <v>81</v>
      </c>
      <c r="G17" s="1">
        <v>2020</v>
      </c>
      <c r="H17" s="1" t="str">
        <f>IF(tblFLOWOD[[#This Row],[nama_asal]]=tblFLOWOD[[#This Row],[nama_tujuan]],"keluar","isi")</f>
        <v>isi</v>
      </c>
      <c r="I17" s="1" t="str">
        <f>METADATA_SOURCES!$A$2</f>
        <v>SRC001</v>
      </c>
    </row>
    <row r="18" spans="1:9" x14ac:dyDescent="0.3">
      <c r="A18" s="1">
        <v>11</v>
      </c>
      <c r="B18" s="1" t="s">
        <v>42</v>
      </c>
      <c r="C18" s="1">
        <v>51</v>
      </c>
      <c r="D18" s="1" t="s">
        <v>58</v>
      </c>
      <c r="E18" s="8">
        <v>144</v>
      </c>
      <c r="F18" s="1" t="s">
        <v>81</v>
      </c>
      <c r="G18" s="1">
        <v>2020</v>
      </c>
      <c r="H18" s="1" t="str">
        <f>IF(tblFLOWOD[[#This Row],[nama_asal]]=tblFLOWOD[[#This Row],[nama_tujuan]],"keluar","isi")</f>
        <v>isi</v>
      </c>
      <c r="I18" s="1" t="str">
        <f>METADATA_SOURCES!$A$2</f>
        <v>SRC001</v>
      </c>
    </row>
    <row r="19" spans="1:9" x14ac:dyDescent="0.3">
      <c r="A19" s="1">
        <v>11</v>
      </c>
      <c r="B19" s="1" t="s">
        <v>42</v>
      </c>
      <c r="C19" s="1">
        <v>52</v>
      </c>
      <c r="D19" s="1" t="s">
        <v>59</v>
      </c>
      <c r="E19" s="8">
        <v>304</v>
      </c>
      <c r="F19" s="1" t="s">
        <v>81</v>
      </c>
      <c r="G19" s="1">
        <v>2020</v>
      </c>
      <c r="H19" s="1" t="str">
        <f>IF(tblFLOWOD[[#This Row],[nama_asal]]=tblFLOWOD[[#This Row],[nama_tujuan]],"keluar","isi")</f>
        <v>isi</v>
      </c>
      <c r="I19" s="1" t="str">
        <f>METADATA_SOURCES!$A$2</f>
        <v>SRC001</v>
      </c>
    </row>
    <row r="20" spans="1:9" x14ac:dyDescent="0.3">
      <c r="A20" s="1">
        <v>11</v>
      </c>
      <c r="B20" s="1" t="s">
        <v>42</v>
      </c>
      <c r="C20" s="1">
        <v>53</v>
      </c>
      <c r="D20" s="1" t="s">
        <v>60</v>
      </c>
      <c r="E20" s="8">
        <v>26</v>
      </c>
      <c r="F20" s="1" t="s">
        <v>81</v>
      </c>
      <c r="G20" s="1">
        <v>2020</v>
      </c>
      <c r="H20" s="1" t="str">
        <f>IF(tblFLOWOD[[#This Row],[nama_asal]]=tblFLOWOD[[#This Row],[nama_tujuan]],"keluar","isi")</f>
        <v>isi</v>
      </c>
      <c r="I20" s="1" t="str">
        <f>METADATA_SOURCES!$A$2</f>
        <v>SRC001</v>
      </c>
    </row>
    <row r="21" spans="1:9" x14ac:dyDescent="0.3">
      <c r="A21" s="1">
        <v>11</v>
      </c>
      <c r="B21" s="1" t="s">
        <v>42</v>
      </c>
      <c r="C21" s="1">
        <v>61</v>
      </c>
      <c r="D21" s="1" t="s">
        <v>61</v>
      </c>
      <c r="E21" s="8">
        <v>122</v>
      </c>
      <c r="F21" s="1" t="s">
        <v>81</v>
      </c>
      <c r="G21" s="1">
        <v>2020</v>
      </c>
      <c r="H21" s="1" t="str">
        <f>IF(tblFLOWOD[[#This Row],[nama_asal]]=tblFLOWOD[[#This Row],[nama_tujuan]],"keluar","isi")</f>
        <v>isi</v>
      </c>
      <c r="I21" s="1" t="str">
        <f>METADATA_SOURCES!$A$2</f>
        <v>SRC001</v>
      </c>
    </row>
    <row r="22" spans="1:9" x14ac:dyDescent="0.3">
      <c r="A22" s="1">
        <v>11</v>
      </c>
      <c r="B22" s="1" t="s">
        <v>42</v>
      </c>
      <c r="C22" s="1">
        <v>62</v>
      </c>
      <c r="D22" s="1" t="s">
        <v>62</v>
      </c>
      <c r="E22" s="8">
        <v>104</v>
      </c>
      <c r="F22" s="1" t="s">
        <v>81</v>
      </c>
      <c r="G22" s="1">
        <v>2020</v>
      </c>
      <c r="H22" s="1" t="str">
        <f>IF(tblFLOWOD[[#This Row],[nama_asal]]=tblFLOWOD[[#This Row],[nama_tujuan]],"keluar","isi")</f>
        <v>isi</v>
      </c>
      <c r="I22" s="1" t="str">
        <f>METADATA_SOURCES!$A$2</f>
        <v>SRC001</v>
      </c>
    </row>
    <row r="23" spans="1:9" x14ac:dyDescent="0.3">
      <c r="A23" s="1">
        <v>11</v>
      </c>
      <c r="B23" s="1" t="s">
        <v>42</v>
      </c>
      <c r="C23" s="1">
        <v>63</v>
      </c>
      <c r="D23" s="1" t="s">
        <v>63</v>
      </c>
      <c r="E23" s="8">
        <v>223</v>
      </c>
      <c r="F23" s="1" t="s">
        <v>81</v>
      </c>
      <c r="G23" s="1">
        <v>2020</v>
      </c>
      <c r="H23" s="1" t="str">
        <f>IF(tblFLOWOD[[#This Row],[nama_asal]]=tblFLOWOD[[#This Row],[nama_tujuan]],"keluar","isi")</f>
        <v>isi</v>
      </c>
      <c r="I23" s="1" t="str">
        <f>METADATA_SOURCES!$A$2</f>
        <v>SRC001</v>
      </c>
    </row>
    <row r="24" spans="1:9" x14ac:dyDescent="0.3">
      <c r="A24" s="1">
        <v>11</v>
      </c>
      <c r="B24" s="1" t="s">
        <v>42</v>
      </c>
      <c r="C24" s="1">
        <v>64</v>
      </c>
      <c r="D24" s="1" t="s">
        <v>64</v>
      </c>
      <c r="E24" s="8">
        <v>270</v>
      </c>
      <c r="F24" s="1" t="s">
        <v>81</v>
      </c>
      <c r="G24" s="1">
        <v>2020</v>
      </c>
      <c r="H24" s="1" t="str">
        <f>IF(tblFLOWOD[[#This Row],[nama_asal]]=tblFLOWOD[[#This Row],[nama_tujuan]],"keluar","isi")</f>
        <v>isi</v>
      </c>
      <c r="I24" s="1" t="str">
        <f>METADATA_SOURCES!$A$2</f>
        <v>SRC001</v>
      </c>
    </row>
    <row r="25" spans="1:9" x14ac:dyDescent="0.3">
      <c r="A25" s="1">
        <v>11</v>
      </c>
      <c r="B25" s="1" t="s">
        <v>42</v>
      </c>
      <c r="C25" s="1">
        <v>65</v>
      </c>
      <c r="D25" s="1" t="s">
        <v>65</v>
      </c>
      <c r="E25" s="8">
        <v>26</v>
      </c>
      <c r="F25" s="1" t="s">
        <v>81</v>
      </c>
      <c r="G25" s="1">
        <v>2020</v>
      </c>
      <c r="H25" s="1" t="str">
        <f>IF(tblFLOWOD[[#This Row],[nama_asal]]=tblFLOWOD[[#This Row],[nama_tujuan]],"keluar","isi")</f>
        <v>isi</v>
      </c>
      <c r="I25" s="1" t="str">
        <f>METADATA_SOURCES!$A$2</f>
        <v>SRC001</v>
      </c>
    </row>
    <row r="26" spans="1:9" x14ac:dyDescent="0.3">
      <c r="A26" s="1">
        <v>11</v>
      </c>
      <c r="B26" s="1" t="s">
        <v>42</v>
      </c>
      <c r="C26" s="1">
        <v>71</v>
      </c>
      <c r="D26" s="1" t="s">
        <v>66</v>
      </c>
      <c r="E26" s="8">
        <v>31</v>
      </c>
      <c r="F26" s="1" t="s">
        <v>81</v>
      </c>
      <c r="G26" s="1">
        <v>2020</v>
      </c>
      <c r="H26" s="1" t="str">
        <f>IF(tblFLOWOD[[#This Row],[nama_asal]]=tblFLOWOD[[#This Row],[nama_tujuan]],"keluar","isi")</f>
        <v>isi</v>
      </c>
      <c r="I26" s="1" t="str">
        <f>METADATA_SOURCES!$A$2</f>
        <v>SRC001</v>
      </c>
    </row>
    <row r="27" spans="1:9" x14ac:dyDescent="0.3">
      <c r="A27" s="1">
        <v>11</v>
      </c>
      <c r="B27" s="1" t="s">
        <v>42</v>
      </c>
      <c r="C27" s="1">
        <v>72</v>
      </c>
      <c r="D27" s="1" t="s">
        <v>67</v>
      </c>
      <c r="E27" s="8">
        <v>170</v>
      </c>
      <c r="F27" s="1" t="s">
        <v>81</v>
      </c>
      <c r="G27" s="1">
        <v>2020</v>
      </c>
      <c r="H27" s="1" t="str">
        <f>IF(tblFLOWOD[[#This Row],[nama_asal]]=tblFLOWOD[[#This Row],[nama_tujuan]],"keluar","isi")</f>
        <v>isi</v>
      </c>
      <c r="I27" s="1" t="str">
        <f>METADATA_SOURCES!$A$2</f>
        <v>SRC001</v>
      </c>
    </row>
    <row r="28" spans="1:9" x14ac:dyDescent="0.3">
      <c r="A28" s="1">
        <v>11</v>
      </c>
      <c r="B28" s="1" t="s">
        <v>42</v>
      </c>
      <c r="C28" s="1">
        <v>73</v>
      </c>
      <c r="D28" s="1" t="s">
        <v>68</v>
      </c>
      <c r="E28" s="8">
        <v>72</v>
      </c>
      <c r="F28" s="1" t="s">
        <v>81</v>
      </c>
      <c r="G28" s="1">
        <v>2020</v>
      </c>
      <c r="H28" s="1" t="str">
        <f>IF(tblFLOWOD[[#This Row],[nama_asal]]=tblFLOWOD[[#This Row],[nama_tujuan]],"keluar","isi")</f>
        <v>isi</v>
      </c>
      <c r="I28" s="1" t="str">
        <f>METADATA_SOURCES!$A$2</f>
        <v>SRC001</v>
      </c>
    </row>
    <row r="29" spans="1:9" x14ac:dyDescent="0.3">
      <c r="A29" s="1">
        <v>11</v>
      </c>
      <c r="B29" s="1" t="s">
        <v>42</v>
      </c>
      <c r="C29" s="1">
        <v>74</v>
      </c>
      <c r="D29" s="1" t="s">
        <v>69</v>
      </c>
      <c r="E29" s="8">
        <v>360</v>
      </c>
      <c r="F29" s="1" t="s">
        <v>81</v>
      </c>
      <c r="G29" s="1">
        <v>2020</v>
      </c>
      <c r="H29" s="1" t="str">
        <f>IF(tblFLOWOD[[#This Row],[nama_asal]]=tblFLOWOD[[#This Row],[nama_tujuan]],"keluar","isi")</f>
        <v>isi</v>
      </c>
      <c r="I29" s="1" t="str">
        <f>METADATA_SOURCES!$A$2</f>
        <v>SRC001</v>
      </c>
    </row>
    <row r="30" spans="1:9" x14ac:dyDescent="0.3">
      <c r="A30" s="1">
        <v>11</v>
      </c>
      <c r="B30" s="1" t="s">
        <v>42</v>
      </c>
      <c r="C30" s="1">
        <v>75</v>
      </c>
      <c r="D30" s="1" t="s">
        <v>70</v>
      </c>
      <c r="E30" s="8">
        <v>173</v>
      </c>
      <c r="F30" s="1" t="s">
        <v>81</v>
      </c>
      <c r="G30" s="1">
        <v>2020</v>
      </c>
      <c r="H30" s="1" t="str">
        <f>IF(tblFLOWOD[[#This Row],[nama_asal]]=tblFLOWOD[[#This Row],[nama_tujuan]],"keluar","isi")</f>
        <v>isi</v>
      </c>
      <c r="I30" s="1" t="str">
        <f>METADATA_SOURCES!$A$2</f>
        <v>SRC001</v>
      </c>
    </row>
    <row r="31" spans="1:9" x14ac:dyDescent="0.3">
      <c r="A31" s="1">
        <v>11</v>
      </c>
      <c r="B31" s="1" t="s">
        <v>42</v>
      </c>
      <c r="C31" s="1">
        <v>76</v>
      </c>
      <c r="D31" s="1" t="s">
        <v>71</v>
      </c>
      <c r="E31" s="8">
        <v>32</v>
      </c>
      <c r="F31" s="1" t="s">
        <v>81</v>
      </c>
      <c r="G31" s="1">
        <v>2020</v>
      </c>
      <c r="H31" s="1" t="str">
        <f>IF(tblFLOWOD[[#This Row],[nama_asal]]=tblFLOWOD[[#This Row],[nama_tujuan]],"keluar","isi")</f>
        <v>isi</v>
      </c>
      <c r="I31" s="1" t="str">
        <f>METADATA_SOURCES!$A$2</f>
        <v>SRC001</v>
      </c>
    </row>
    <row r="32" spans="1:9" x14ac:dyDescent="0.3">
      <c r="A32" s="1">
        <v>11</v>
      </c>
      <c r="B32" s="1" t="s">
        <v>42</v>
      </c>
      <c r="C32" s="1">
        <v>81</v>
      </c>
      <c r="D32" s="1" t="s">
        <v>72</v>
      </c>
      <c r="E32" s="8">
        <v>102</v>
      </c>
      <c r="F32" s="1" t="s">
        <v>81</v>
      </c>
      <c r="G32" s="1">
        <v>2020</v>
      </c>
      <c r="H32" s="1" t="str">
        <f>IF(tblFLOWOD[[#This Row],[nama_asal]]=tblFLOWOD[[#This Row],[nama_tujuan]],"keluar","isi")</f>
        <v>isi</v>
      </c>
      <c r="I32" s="1" t="str">
        <f>METADATA_SOURCES!$A$2</f>
        <v>SRC001</v>
      </c>
    </row>
    <row r="33" spans="1:9" x14ac:dyDescent="0.3">
      <c r="A33" s="1">
        <v>11</v>
      </c>
      <c r="B33" s="1" t="s">
        <v>42</v>
      </c>
      <c r="C33" s="1">
        <v>82</v>
      </c>
      <c r="D33" s="1" t="s">
        <v>73</v>
      </c>
      <c r="E33" s="8">
        <v>46</v>
      </c>
      <c r="F33" s="1" t="s">
        <v>81</v>
      </c>
      <c r="G33" s="1">
        <v>2020</v>
      </c>
      <c r="H33" s="1" t="str">
        <f>IF(tblFLOWOD[[#This Row],[nama_asal]]=tblFLOWOD[[#This Row],[nama_tujuan]],"keluar","isi")</f>
        <v>isi</v>
      </c>
      <c r="I33" s="1" t="str">
        <f>METADATA_SOURCES!$A$2</f>
        <v>SRC001</v>
      </c>
    </row>
    <row r="34" spans="1:9" x14ac:dyDescent="0.3">
      <c r="A34" s="1">
        <v>11</v>
      </c>
      <c r="B34" s="1" t="s">
        <v>42</v>
      </c>
      <c r="C34" s="1">
        <v>91</v>
      </c>
      <c r="D34" s="1" t="s">
        <v>74</v>
      </c>
      <c r="E34" s="8">
        <v>32</v>
      </c>
      <c r="F34" s="1" t="s">
        <v>81</v>
      </c>
      <c r="G34" s="1">
        <v>2020</v>
      </c>
      <c r="H34" s="1" t="str">
        <f>IF(tblFLOWOD[[#This Row],[nama_asal]]=tblFLOWOD[[#This Row],[nama_tujuan]],"keluar","isi")</f>
        <v>isi</v>
      </c>
      <c r="I34" s="1" t="str">
        <f>METADATA_SOURCES!$A$2</f>
        <v>SRC001</v>
      </c>
    </row>
    <row r="35" spans="1:9" x14ac:dyDescent="0.3">
      <c r="A35" s="1">
        <v>11</v>
      </c>
      <c r="B35" s="1" t="s">
        <v>42</v>
      </c>
      <c r="C35" s="1">
        <v>94</v>
      </c>
      <c r="D35" s="1" t="s">
        <v>75</v>
      </c>
      <c r="E35" s="8">
        <v>153</v>
      </c>
      <c r="F35" s="1" t="s">
        <v>81</v>
      </c>
      <c r="G35" s="1">
        <v>2020</v>
      </c>
      <c r="H35" s="1" t="str">
        <f>IF(tblFLOWOD[[#This Row],[nama_asal]]=tblFLOWOD[[#This Row],[nama_tujuan]],"keluar","isi")</f>
        <v>isi</v>
      </c>
      <c r="I35" s="1" t="str">
        <f>METADATA_SOURCES!$A$2</f>
        <v>SRC001</v>
      </c>
    </row>
    <row r="36" spans="1:9" x14ac:dyDescent="0.3">
      <c r="A36" s="1">
        <v>12</v>
      </c>
      <c r="B36" s="1" t="s">
        <v>43</v>
      </c>
      <c r="C36" s="1">
        <v>11</v>
      </c>
      <c r="D36" s="1" t="s">
        <v>42</v>
      </c>
      <c r="E36" s="8">
        <v>21622</v>
      </c>
      <c r="F36" s="1" t="s">
        <v>81</v>
      </c>
      <c r="G36" s="1">
        <v>2020</v>
      </c>
      <c r="H36" s="1" t="str">
        <f>IF(tblFLOWOD[[#This Row],[nama_asal]]=tblFLOWOD[[#This Row],[nama_tujuan]],"keluar","isi")</f>
        <v>isi</v>
      </c>
      <c r="I36" s="1" t="str">
        <f>METADATA_SOURCES!$A$2</f>
        <v>SRC001</v>
      </c>
    </row>
    <row r="37" spans="1:9" x14ac:dyDescent="0.3">
      <c r="A37" s="1">
        <v>12</v>
      </c>
      <c r="B37" s="1" t="s">
        <v>43</v>
      </c>
      <c r="C37" s="1">
        <v>12</v>
      </c>
      <c r="D37" s="1" t="s">
        <v>43</v>
      </c>
      <c r="E37" s="8">
        <v>13557160</v>
      </c>
      <c r="F37" s="1" t="s">
        <v>81</v>
      </c>
      <c r="G37" s="1">
        <v>2020</v>
      </c>
      <c r="H37" s="1" t="str">
        <f>IF(tblFLOWOD[[#This Row],[nama_asal]]=tblFLOWOD[[#This Row],[nama_tujuan]],"keluar","isi")</f>
        <v>keluar</v>
      </c>
      <c r="I37" s="1" t="str">
        <f>METADATA_SOURCES!$A$2</f>
        <v>SRC001</v>
      </c>
    </row>
    <row r="38" spans="1:9" x14ac:dyDescent="0.3">
      <c r="A38" s="1">
        <v>12</v>
      </c>
      <c r="B38" s="1" t="s">
        <v>43</v>
      </c>
      <c r="C38" s="1">
        <v>13</v>
      </c>
      <c r="D38" s="1" t="s">
        <v>44</v>
      </c>
      <c r="E38" s="8">
        <v>18150</v>
      </c>
      <c r="F38" s="1" t="s">
        <v>81</v>
      </c>
      <c r="G38" s="1">
        <v>2020</v>
      </c>
      <c r="H38" s="1" t="str">
        <f>IF(tblFLOWOD[[#This Row],[nama_asal]]=tblFLOWOD[[#This Row],[nama_tujuan]],"keluar","isi")</f>
        <v>isi</v>
      </c>
      <c r="I38" s="1" t="str">
        <f>METADATA_SOURCES!$A$2</f>
        <v>SRC001</v>
      </c>
    </row>
    <row r="39" spans="1:9" x14ac:dyDescent="0.3">
      <c r="A39" s="1">
        <v>12</v>
      </c>
      <c r="B39" s="1" t="s">
        <v>43</v>
      </c>
      <c r="C39" s="1">
        <v>14</v>
      </c>
      <c r="D39" s="1" t="s">
        <v>45</v>
      </c>
      <c r="E39" s="8">
        <v>65668</v>
      </c>
      <c r="F39" s="1" t="s">
        <v>81</v>
      </c>
      <c r="G39" s="1">
        <v>2020</v>
      </c>
      <c r="H39" s="1" t="str">
        <f>IF(tblFLOWOD[[#This Row],[nama_asal]]=tblFLOWOD[[#This Row],[nama_tujuan]],"keluar","isi")</f>
        <v>isi</v>
      </c>
      <c r="I39" s="1" t="str">
        <f>METADATA_SOURCES!$A$2</f>
        <v>SRC001</v>
      </c>
    </row>
    <row r="40" spans="1:9" x14ac:dyDescent="0.3">
      <c r="A40" s="1">
        <v>12</v>
      </c>
      <c r="B40" s="1" t="s">
        <v>43</v>
      </c>
      <c r="C40" s="1">
        <v>15</v>
      </c>
      <c r="D40" s="1" t="s">
        <v>46</v>
      </c>
      <c r="E40" s="8">
        <v>7280</v>
      </c>
      <c r="F40" s="1" t="s">
        <v>81</v>
      </c>
      <c r="G40" s="1">
        <v>2020</v>
      </c>
      <c r="H40" s="1" t="str">
        <f>IF(tblFLOWOD[[#This Row],[nama_asal]]=tblFLOWOD[[#This Row],[nama_tujuan]],"keluar","isi")</f>
        <v>isi</v>
      </c>
      <c r="I40" s="1" t="str">
        <f>METADATA_SOURCES!$A$2</f>
        <v>SRC001</v>
      </c>
    </row>
    <row r="41" spans="1:9" x14ac:dyDescent="0.3">
      <c r="A41" s="1">
        <v>12</v>
      </c>
      <c r="B41" s="1" t="s">
        <v>43</v>
      </c>
      <c r="C41" s="1">
        <v>16</v>
      </c>
      <c r="D41" s="1" t="s">
        <v>47</v>
      </c>
      <c r="E41" s="8">
        <v>3868</v>
      </c>
      <c r="F41" s="1" t="s">
        <v>81</v>
      </c>
      <c r="G41" s="1">
        <v>2020</v>
      </c>
      <c r="H41" s="1" t="str">
        <f>IF(tblFLOWOD[[#This Row],[nama_asal]]=tblFLOWOD[[#This Row],[nama_tujuan]],"keluar","isi")</f>
        <v>isi</v>
      </c>
      <c r="I41" s="1" t="str">
        <f>METADATA_SOURCES!$A$2</f>
        <v>SRC001</v>
      </c>
    </row>
    <row r="42" spans="1:9" x14ac:dyDescent="0.3">
      <c r="A42" s="1">
        <v>12</v>
      </c>
      <c r="B42" s="1" t="s">
        <v>43</v>
      </c>
      <c r="C42" s="1">
        <v>17</v>
      </c>
      <c r="D42" s="1" t="s">
        <v>48</v>
      </c>
      <c r="E42" s="8">
        <v>2100</v>
      </c>
      <c r="F42" s="1" t="s">
        <v>81</v>
      </c>
      <c r="G42" s="1">
        <v>2020</v>
      </c>
      <c r="H42" s="1" t="str">
        <f>IF(tblFLOWOD[[#This Row],[nama_asal]]=tblFLOWOD[[#This Row],[nama_tujuan]],"keluar","isi")</f>
        <v>isi</v>
      </c>
      <c r="I42" s="1" t="str">
        <f>METADATA_SOURCES!$A$2</f>
        <v>SRC001</v>
      </c>
    </row>
    <row r="43" spans="1:9" x14ac:dyDescent="0.3">
      <c r="A43" s="1">
        <v>12</v>
      </c>
      <c r="B43" s="1" t="s">
        <v>43</v>
      </c>
      <c r="C43" s="1">
        <v>18</v>
      </c>
      <c r="D43" s="1" t="s">
        <v>49</v>
      </c>
      <c r="E43" s="8">
        <v>2614</v>
      </c>
      <c r="F43" s="1" t="s">
        <v>81</v>
      </c>
      <c r="G43" s="1">
        <v>2020</v>
      </c>
      <c r="H43" s="1" t="str">
        <f>IF(tblFLOWOD[[#This Row],[nama_asal]]=tblFLOWOD[[#This Row],[nama_tujuan]],"keluar","isi")</f>
        <v>isi</v>
      </c>
      <c r="I43" s="1" t="str">
        <f>METADATA_SOURCES!$A$2</f>
        <v>SRC001</v>
      </c>
    </row>
    <row r="44" spans="1:9" x14ac:dyDescent="0.3">
      <c r="A44" s="1">
        <v>12</v>
      </c>
      <c r="B44" s="1" t="s">
        <v>43</v>
      </c>
      <c r="C44" s="1">
        <v>19</v>
      </c>
      <c r="D44" s="1" t="s">
        <v>50</v>
      </c>
      <c r="E44" s="8">
        <v>823</v>
      </c>
      <c r="F44" s="1" t="s">
        <v>81</v>
      </c>
      <c r="G44" s="1">
        <v>2020</v>
      </c>
      <c r="H44" s="1" t="str">
        <f>IF(tblFLOWOD[[#This Row],[nama_asal]]=tblFLOWOD[[#This Row],[nama_tujuan]],"keluar","isi")</f>
        <v>isi</v>
      </c>
      <c r="I44" s="1" t="str">
        <f>METADATA_SOURCES!$A$2</f>
        <v>SRC001</v>
      </c>
    </row>
    <row r="45" spans="1:9" x14ac:dyDescent="0.3">
      <c r="A45" s="1">
        <v>12</v>
      </c>
      <c r="B45" s="1" t="s">
        <v>43</v>
      </c>
      <c r="C45" s="1">
        <v>21</v>
      </c>
      <c r="D45" s="1" t="s">
        <v>51</v>
      </c>
      <c r="E45" s="8">
        <v>24366</v>
      </c>
      <c r="F45" s="1" t="s">
        <v>81</v>
      </c>
      <c r="G45" s="1">
        <v>2020</v>
      </c>
      <c r="H45" s="1" t="str">
        <f>IF(tblFLOWOD[[#This Row],[nama_asal]]=tblFLOWOD[[#This Row],[nama_tujuan]],"keluar","isi")</f>
        <v>isi</v>
      </c>
      <c r="I45" s="1" t="str">
        <f>METADATA_SOURCES!$A$2</f>
        <v>SRC001</v>
      </c>
    </row>
    <row r="46" spans="1:9" x14ac:dyDescent="0.3">
      <c r="A46" s="1">
        <v>12</v>
      </c>
      <c r="B46" s="1" t="s">
        <v>43</v>
      </c>
      <c r="C46" s="1">
        <v>31</v>
      </c>
      <c r="D46" s="1" t="s">
        <v>52</v>
      </c>
      <c r="E46" s="8">
        <v>8108</v>
      </c>
      <c r="F46" s="1" t="s">
        <v>81</v>
      </c>
      <c r="G46" s="1">
        <v>2020</v>
      </c>
      <c r="H46" s="1" t="str">
        <f>IF(tblFLOWOD[[#This Row],[nama_asal]]=tblFLOWOD[[#This Row],[nama_tujuan]],"keluar","isi")</f>
        <v>isi</v>
      </c>
      <c r="I46" s="1" t="str">
        <f>METADATA_SOURCES!$A$2</f>
        <v>SRC001</v>
      </c>
    </row>
    <row r="47" spans="1:9" x14ac:dyDescent="0.3">
      <c r="A47" s="1">
        <v>12</v>
      </c>
      <c r="B47" s="1" t="s">
        <v>43</v>
      </c>
      <c r="C47" s="1">
        <v>32</v>
      </c>
      <c r="D47" s="1" t="s">
        <v>53</v>
      </c>
      <c r="E47" s="8">
        <v>19801</v>
      </c>
      <c r="F47" s="1" t="s">
        <v>81</v>
      </c>
      <c r="G47" s="1">
        <v>2020</v>
      </c>
      <c r="H47" s="1" t="str">
        <f>IF(tblFLOWOD[[#This Row],[nama_asal]]=tblFLOWOD[[#This Row],[nama_tujuan]],"keluar","isi")</f>
        <v>isi</v>
      </c>
      <c r="I47" s="1" t="str">
        <f>METADATA_SOURCES!$A$2</f>
        <v>SRC001</v>
      </c>
    </row>
    <row r="48" spans="1:9" x14ac:dyDescent="0.3">
      <c r="A48" s="1">
        <v>12</v>
      </c>
      <c r="B48" s="1" t="s">
        <v>43</v>
      </c>
      <c r="C48" s="1">
        <v>33</v>
      </c>
      <c r="D48" s="1" t="s">
        <v>54</v>
      </c>
      <c r="E48" s="8">
        <v>6751</v>
      </c>
      <c r="F48" s="1" t="s">
        <v>81</v>
      </c>
      <c r="G48" s="1">
        <v>2020</v>
      </c>
      <c r="H48" s="1" t="str">
        <f>IF(tblFLOWOD[[#This Row],[nama_asal]]=tblFLOWOD[[#This Row],[nama_tujuan]],"keluar","isi")</f>
        <v>isi</v>
      </c>
      <c r="I48" s="1" t="str">
        <f>METADATA_SOURCES!$A$2</f>
        <v>SRC001</v>
      </c>
    </row>
    <row r="49" spans="1:9" x14ac:dyDescent="0.3">
      <c r="A49" s="1">
        <v>12</v>
      </c>
      <c r="B49" s="1" t="s">
        <v>43</v>
      </c>
      <c r="C49" s="1">
        <v>34</v>
      </c>
      <c r="D49" s="1" t="s">
        <v>55</v>
      </c>
      <c r="E49" s="8">
        <v>3639</v>
      </c>
      <c r="F49" s="1" t="s">
        <v>81</v>
      </c>
      <c r="G49" s="1">
        <v>2020</v>
      </c>
      <c r="H49" s="1" t="str">
        <f>IF(tblFLOWOD[[#This Row],[nama_asal]]=tblFLOWOD[[#This Row],[nama_tujuan]],"keluar","isi")</f>
        <v>isi</v>
      </c>
      <c r="I49" s="1" t="str">
        <f>METADATA_SOURCES!$A$2</f>
        <v>SRC001</v>
      </c>
    </row>
    <row r="50" spans="1:9" x14ac:dyDescent="0.3">
      <c r="A50" s="1">
        <v>12</v>
      </c>
      <c r="B50" s="1" t="s">
        <v>43</v>
      </c>
      <c r="C50" s="1">
        <v>35</v>
      </c>
      <c r="D50" s="1" t="s">
        <v>56</v>
      </c>
      <c r="E50" s="8">
        <v>4664</v>
      </c>
      <c r="F50" s="1" t="s">
        <v>81</v>
      </c>
      <c r="G50" s="1">
        <v>2020</v>
      </c>
      <c r="H50" s="1" t="str">
        <f>IF(tblFLOWOD[[#This Row],[nama_asal]]=tblFLOWOD[[#This Row],[nama_tujuan]],"keluar","isi")</f>
        <v>isi</v>
      </c>
      <c r="I50" s="1" t="str">
        <f>METADATA_SOURCES!$A$2</f>
        <v>SRC001</v>
      </c>
    </row>
    <row r="51" spans="1:9" x14ac:dyDescent="0.3">
      <c r="A51" s="1">
        <v>12</v>
      </c>
      <c r="B51" s="1" t="s">
        <v>43</v>
      </c>
      <c r="C51" s="1">
        <v>36</v>
      </c>
      <c r="D51" s="1" t="s">
        <v>57</v>
      </c>
      <c r="E51" s="8">
        <v>5582</v>
      </c>
      <c r="F51" s="1" t="s">
        <v>81</v>
      </c>
      <c r="G51" s="1">
        <v>2020</v>
      </c>
      <c r="H51" s="1" t="str">
        <f>IF(tblFLOWOD[[#This Row],[nama_asal]]=tblFLOWOD[[#This Row],[nama_tujuan]],"keluar","isi")</f>
        <v>isi</v>
      </c>
      <c r="I51" s="1" t="str">
        <f>METADATA_SOURCES!$A$2</f>
        <v>SRC001</v>
      </c>
    </row>
    <row r="52" spans="1:9" x14ac:dyDescent="0.3">
      <c r="A52" s="1">
        <v>12</v>
      </c>
      <c r="B52" s="1" t="s">
        <v>43</v>
      </c>
      <c r="C52" s="1">
        <v>51</v>
      </c>
      <c r="D52" s="1" t="s">
        <v>58</v>
      </c>
      <c r="E52" s="8">
        <v>746</v>
      </c>
      <c r="F52" s="1" t="s">
        <v>81</v>
      </c>
      <c r="G52" s="1">
        <v>2020</v>
      </c>
      <c r="H52" s="1" t="str">
        <f>IF(tblFLOWOD[[#This Row],[nama_asal]]=tblFLOWOD[[#This Row],[nama_tujuan]],"keluar","isi")</f>
        <v>isi</v>
      </c>
      <c r="I52" s="1" t="str">
        <f>METADATA_SOURCES!$A$2</f>
        <v>SRC001</v>
      </c>
    </row>
    <row r="53" spans="1:9" x14ac:dyDescent="0.3">
      <c r="A53" s="1">
        <v>12</v>
      </c>
      <c r="B53" s="1" t="s">
        <v>43</v>
      </c>
      <c r="C53" s="1">
        <v>52</v>
      </c>
      <c r="D53" s="1" t="s">
        <v>59</v>
      </c>
      <c r="E53" s="8">
        <v>687</v>
      </c>
      <c r="F53" s="1" t="s">
        <v>81</v>
      </c>
      <c r="G53" s="1">
        <v>2020</v>
      </c>
      <c r="H53" s="1" t="str">
        <f>IF(tblFLOWOD[[#This Row],[nama_asal]]=tblFLOWOD[[#This Row],[nama_tujuan]],"keluar","isi")</f>
        <v>isi</v>
      </c>
      <c r="I53" s="1" t="str">
        <f>METADATA_SOURCES!$A$2</f>
        <v>SRC001</v>
      </c>
    </row>
    <row r="54" spans="1:9" x14ac:dyDescent="0.3">
      <c r="A54" s="1">
        <v>12</v>
      </c>
      <c r="B54" s="1" t="s">
        <v>43</v>
      </c>
      <c r="C54" s="1">
        <v>53</v>
      </c>
      <c r="D54" s="1" t="s">
        <v>60</v>
      </c>
      <c r="E54" s="8">
        <v>842</v>
      </c>
      <c r="F54" s="1" t="s">
        <v>81</v>
      </c>
      <c r="G54" s="1">
        <v>2020</v>
      </c>
      <c r="H54" s="1" t="str">
        <f>IF(tblFLOWOD[[#This Row],[nama_asal]]=tblFLOWOD[[#This Row],[nama_tujuan]],"keluar","isi")</f>
        <v>isi</v>
      </c>
      <c r="I54" s="1" t="str">
        <f>METADATA_SOURCES!$A$2</f>
        <v>SRC001</v>
      </c>
    </row>
    <row r="55" spans="1:9" x14ac:dyDescent="0.3">
      <c r="A55" s="1">
        <v>12</v>
      </c>
      <c r="B55" s="1" t="s">
        <v>43</v>
      </c>
      <c r="C55" s="1">
        <v>61</v>
      </c>
      <c r="D55" s="1" t="s">
        <v>61</v>
      </c>
      <c r="E55" s="8">
        <v>1671</v>
      </c>
      <c r="F55" s="1" t="s">
        <v>81</v>
      </c>
      <c r="G55" s="1">
        <v>2020</v>
      </c>
      <c r="H55" s="1" t="str">
        <f>IF(tblFLOWOD[[#This Row],[nama_asal]]=tblFLOWOD[[#This Row],[nama_tujuan]],"keluar","isi")</f>
        <v>isi</v>
      </c>
      <c r="I55" s="1" t="str">
        <f>METADATA_SOURCES!$A$2</f>
        <v>SRC001</v>
      </c>
    </row>
    <row r="56" spans="1:9" x14ac:dyDescent="0.3">
      <c r="A56" s="1">
        <v>12</v>
      </c>
      <c r="B56" s="1" t="s">
        <v>43</v>
      </c>
      <c r="C56" s="1">
        <v>62</v>
      </c>
      <c r="D56" s="1" t="s">
        <v>62</v>
      </c>
      <c r="E56" s="8">
        <v>2472</v>
      </c>
      <c r="F56" s="1" t="s">
        <v>81</v>
      </c>
      <c r="G56" s="1">
        <v>2020</v>
      </c>
      <c r="H56" s="1" t="str">
        <f>IF(tblFLOWOD[[#This Row],[nama_asal]]=tblFLOWOD[[#This Row],[nama_tujuan]],"keluar","isi")</f>
        <v>isi</v>
      </c>
      <c r="I56" s="1" t="str">
        <f>METADATA_SOURCES!$A$2</f>
        <v>SRC001</v>
      </c>
    </row>
    <row r="57" spans="1:9" x14ac:dyDescent="0.3">
      <c r="A57" s="1">
        <v>12</v>
      </c>
      <c r="B57" s="1" t="s">
        <v>43</v>
      </c>
      <c r="C57" s="1">
        <v>63</v>
      </c>
      <c r="D57" s="1" t="s">
        <v>63</v>
      </c>
      <c r="E57" s="8">
        <v>1713</v>
      </c>
      <c r="F57" s="1" t="s">
        <v>81</v>
      </c>
      <c r="G57" s="1">
        <v>2020</v>
      </c>
      <c r="H57" s="1" t="str">
        <f>IF(tblFLOWOD[[#This Row],[nama_asal]]=tblFLOWOD[[#This Row],[nama_tujuan]],"keluar","isi")</f>
        <v>isi</v>
      </c>
      <c r="I57" s="1" t="str">
        <f>METADATA_SOURCES!$A$2</f>
        <v>SRC001</v>
      </c>
    </row>
    <row r="58" spans="1:9" x14ac:dyDescent="0.3">
      <c r="A58" s="1">
        <v>12</v>
      </c>
      <c r="B58" s="1" t="s">
        <v>43</v>
      </c>
      <c r="C58" s="1">
        <v>64</v>
      </c>
      <c r="D58" s="1" t="s">
        <v>64</v>
      </c>
      <c r="E58" s="8">
        <v>2009</v>
      </c>
      <c r="F58" s="1" t="s">
        <v>81</v>
      </c>
      <c r="G58" s="1">
        <v>2020</v>
      </c>
      <c r="H58" s="1" t="str">
        <f>IF(tblFLOWOD[[#This Row],[nama_asal]]=tblFLOWOD[[#This Row],[nama_tujuan]],"keluar","isi")</f>
        <v>isi</v>
      </c>
      <c r="I58" s="1" t="str">
        <f>METADATA_SOURCES!$A$2</f>
        <v>SRC001</v>
      </c>
    </row>
    <row r="59" spans="1:9" x14ac:dyDescent="0.3">
      <c r="A59" s="1">
        <v>12</v>
      </c>
      <c r="B59" s="1" t="s">
        <v>43</v>
      </c>
      <c r="C59" s="1">
        <v>65</v>
      </c>
      <c r="D59" s="1" t="s">
        <v>65</v>
      </c>
      <c r="E59" s="8">
        <v>237</v>
      </c>
      <c r="F59" s="1" t="s">
        <v>81</v>
      </c>
      <c r="G59" s="1">
        <v>2020</v>
      </c>
      <c r="H59" s="1" t="str">
        <f>IF(tblFLOWOD[[#This Row],[nama_asal]]=tblFLOWOD[[#This Row],[nama_tujuan]],"keluar","isi")</f>
        <v>isi</v>
      </c>
      <c r="I59" s="1" t="str">
        <f>METADATA_SOURCES!$A$2</f>
        <v>SRC001</v>
      </c>
    </row>
    <row r="60" spans="1:9" x14ac:dyDescent="0.3">
      <c r="A60" s="1">
        <v>12</v>
      </c>
      <c r="B60" s="1" t="s">
        <v>43</v>
      </c>
      <c r="C60" s="1">
        <v>71</v>
      </c>
      <c r="D60" s="1" t="s">
        <v>66</v>
      </c>
      <c r="E60" s="8">
        <v>545</v>
      </c>
      <c r="F60" s="1" t="s">
        <v>81</v>
      </c>
      <c r="G60" s="1">
        <v>2020</v>
      </c>
      <c r="H60" s="1" t="str">
        <f>IF(tblFLOWOD[[#This Row],[nama_asal]]=tblFLOWOD[[#This Row],[nama_tujuan]],"keluar","isi")</f>
        <v>isi</v>
      </c>
      <c r="I60" s="1" t="str">
        <f>METADATA_SOURCES!$A$2</f>
        <v>SRC001</v>
      </c>
    </row>
    <row r="61" spans="1:9" x14ac:dyDescent="0.3">
      <c r="A61" s="1">
        <v>12</v>
      </c>
      <c r="B61" s="1" t="s">
        <v>43</v>
      </c>
      <c r="C61" s="1">
        <v>72</v>
      </c>
      <c r="D61" s="1" t="s">
        <v>67</v>
      </c>
      <c r="E61" s="8">
        <v>972</v>
      </c>
      <c r="F61" s="1" t="s">
        <v>81</v>
      </c>
      <c r="G61" s="1">
        <v>2020</v>
      </c>
      <c r="H61" s="1" t="str">
        <f>IF(tblFLOWOD[[#This Row],[nama_asal]]=tblFLOWOD[[#This Row],[nama_tujuan]],"keluar","isi")</f>
        <v>isi</v>
      </c>
      <c r="I61" s="1" t="str">
        <f>METADATA_SOURCES!$A$2</f>
        <v>SRC001</v>
      </c>
    </row>
    <row r="62" spans="1:9" x14ac:dyDescent="0.3">
      <c r="A62" s="1">
        <v>12</v>
      </c>
      <c r="B62" s="1" t="s">
        <v>43</v>
      </c>
      <c r="C62" s="1">
        <v>73</v>
      </c>
      <c r="D62" s="1" t="s">
        <v>68</v>
      </c>
      <c r="E62" s="8">
        <v>529</v>
      </c>
      <c r="F62" s="1" t="s">
        <v>81</v>
      </c>
      <c r="G62" s="1">
        <v>2020</v>
      </c>
      <c r="H62" s="1" t="str">
        <f>IF(tblFLOWOD[[#This Row],[nama_asal]]=tblFLOWOD[[#This Row],[nama_tujuan]],"keluar","isi")</f>
        <v>isi</v>
      </c>
      <c r="I62" s="1" t="str">
        <f>METADATA_SOURCES!$A$2</f>
        <v>SRC001</v>
      </c>
    </row>
    <row r="63" spans="1:9" x14ac:dyDescent="0.3">
      <c r="A63" s="1">
        <v>12</v>
      </c>
      <c r="B63" s="1" t="s">
        <v>43</v>
      </c>
      <c r="C63" s="1">
        <v>74</v>
      </c>
      <c r="D63" s="1" t="s">
        <v>69</v>
      </c>
      <c r="E63" s="8">
        <v>418</v>
      </c>
      <c r="F63" s="1" t="s">
        <v>81</v>
      </c>
      <c r="G63" s="1">
        <v>2020</v>
      </c>
      <c r="H63" s="1" t="str">
        <f>IF(tblFLOWOD[[#This Row],[nama_asal]]=tblFLOWOD[[#This Row],[nama_tujuan]],"keluar","isi")</f>
        <v>isi</v>
      </c>
      <c r="I63" s="1" t="str">
        <f>METADATA_SOURCES!$A$2</f>
        <v>SRC001</v>
      </c>
    </row>
    <row r="64" spans="1:9" x14ac:dyDescent="0.3">
      <c r="A64" s="1">
        <v>12</v>
      </c>
      <c r="B64" s="1" t="s">
        <v>43</v>
      </c>
      <c r="C64" s="1">
        <v>75</v>
      </c>
      <c r="D64" s="1" t="s">
        <v>70</v>
      </c>
      <c r="E64" s="8">
        <v>93</v>
      </c>
      <c r="F64" s="1" t="s">
        <v>81</v>
      </c>
      <c r="G64" s="1">
        <v>2020</v>
      </c>
      <c r="H64" s="1" t="str">
        <f>IF(tblFLOWOD[[#This Row],[nama_asal]]=tblFLOWOD[[#This Row],[nama_tujuan]],"keluar","isi")</f>
        <v>isi</v>
      </c>
      <c r="I64" s="1" t="str">
        <f>METADATA_SOURCES!$A$2</f>
        <v>SRC001</v>
      </c>
    </row>
    <row r="65" spans="1:9" x14ac:dyDescent="0.3">
      <c r="A65" s="1">
        <v>12</v>
      </c>
      <c r="B65" s="1" t="s">
        <v>43</v>
      </c>
      <c r="C65" s="1">
        <v>76</v>
      </c>
      <c r="D65" s="1" t="s">
        <v>71</v>
      </c>
      <c r="E65" s="8">
        <v>150</v>
      </c>
      <c r="F65" s="1" t="s">
        <v>81</v>
      </c>
      <c r="G65" s="1">
        <v>2020</v>
      </c>
      <c r="H65" s="1" t="str">
        <f>IF(tblFLOWOD[[#This Row],[nama_asal]]=tblFLOWOD[[#This Row],[nama_tujuan]],"keluar","isi")</f>
        <v>isi</v>
      </c>
      <c r="I65" s="1" t="str">
        <f>METADATA_SOURCES!$A$2</f>
        <v>SRC001</v>
      </c>
    </row>
    <row r="66" spans="1:9" x14ac:dyDescent="0.3">
      <c r="A66" s="1">
        <v>12</v>
      </c>
      <c r="B66" s="1" t="s">
        <v>43</v>
      </c>
      <c r="C66" s="1">
        <v>81</v>
      </c>
      <c r="D66" s="1" t="s">
        <v>72</v>
      </c>
      <c r="E66" s="8">
        <v>550</v>
      </c>
      <c r="F66" s="1" t="s">
        <v>81</v>
      </c>
      <c r="G66" s="1">
        <v>2020</v>
      </c>
      <c r="H66" s="1" t="str">
        <f>IF(tblFLOWOD[[#This Row],[nama_asal]]=tblFLOWOD[[#This Row],[nama_tujuan]],"keluar","isi")</f>
        <v>isi</v>
      </c>
      <c r="I66" s="1" t="str">
        <f>METADATA_SOURCES!$A$2</f>
        <v>SRC001</v>
      </c>
    </row>
    <row r="67" spans="1:9" x14ac:dyDescent="0.3">
      <c r="A67" s="1">
        <v>12</v>
      </c>
      <c r="B67" s="1" t="s">
        <v>43</v>
      </c>
      <c r="C67" s="1">
        <v>82</v>
      </c>
      <c r="D67" s="1" t="s">
        <v>73</v>
      </c>
      <c r="E67" s="8">
        <v>87</v>
      </c>
      <c r="F67" s="1" t="s">
        <v>81</v>
      </c>
      <c r="G67" s="1">
        <v>2020</v>
      </c>
      <c r="H67" s="1" t="str">
        <f>IF(tblFLOWOD[[#This Row],[nama_asal]]=tblFLOWOD[[#This Row],[nama_tujuan]],"keluar","isi")</f>
        <v>isi</v>
      </c>
      <c r="I67" s="1" t="str">
        <f>METADATA_SOURCES!$A$2</f>
        <v>SRC001</v>
      </c>
    </row>
    <row r="68" spans="1:9" x14ac:dyDescent="0.3">
      <c r="A68" s="1">
        <v>12</v>
      </c>
      <c r="B68" s="1" t="s">
        <v>43</v>
      </c>
      <c r="C68" s="1">
        <v>91</v>
      </c>
      <c r="D68" s="1" t="s">
        <v>74</v>
      </c>
      <c r="E68" s="8">
        <v>583</v>
      </c>
      <c r="F68" s="1" t="s">
        <v>81</v>
      </c>
      <c r="G68" s="1">
        <v>2020</v>
      </c>
      <c r="H68" s="1" t="str">
        <f>IF(tblFLOWOD[[#This Row],[nama_asal]]=tblFLOWOD[[#This Row],[nama_tujuan]],"keluar","isi")</f>
        <v>isi</v>
      </c>
      <c r="I68" s="1" t="str">
        <f>METADATA_SOURCES!$A$2</f>
        <v>SRC001</v>
      </c>
    </row>
    <row r="69" spans="1:9" x14ac:dyDescent="0.3">
      <c r="A69" s="1">
        <v>12</v>
      </c>
      <c r="B69" s="1" t="s">
        <v>43</v>
      </c>
      <c r="C69" s="1">
        <v>94</v>
      </c>
      <c r="D69" s="1" t="s">
        <v>75</v>
      </c>
      <c r="E69" s="8">
        <v>1289</v>
      </c>
      <c r="F69" s="1" t="s">
        <v>81</v>
      </c>
      <c r="G69" s="1">
        <v>2020</v>
      </c>
      <c r="H69" s="1" t="str">
        <f>IF(tblFLOWOD[[#This Row],[nama_asal]]=tblFLOWOD[[#This Row],[nama_tujuan]],"keluar","isi")</f>
        <v>isi</v>
      </c>
      <c r="I69" s="1" t="str">
        <f>METADATA_SOURCES!$A$2</f>
        <v>SRC001</v>
      </c>
    </row>
    <row r="70" spans="1:9" x14ac:dyDescent="0.3">
      <c r="A70" s="1">
        <v>13</v>
      </c>
      <c r="B70" s="1" t="s">
        <v>44</v>
      </c>
      <c r="C70" s="1">
        <v>11</v>
      </c>
      <c r="D70" s="1" t="s">
        <v>42</v>
      </c>
      <c r="E70" s="8">
        <v>1271</v>
      </c>
      <c r="F70" s="1" t="s">
        <v>81</v>
      </c>
      <c r="G70" s="1">
        <v>2020</v>
      </c>
      <c r="H70" s="1" t="str">
        <f>IF(tblFLOWOD[[#This Row],[nama_asal]]=tblFLOWOD[[#This Row],[nama_tujuan]],"keluar","isi")</f>
        <v>isi</v>
      </c>
      <c r="I70" s="1" t="str">
        <f>METADATA_SOURCES!$A$2</f>
        <v>SRC001</v>
      </c>
    </row>
    <row r="71" spans="1:9" x14ac:dyDescent="0.3">
      <c r="A71" s="1">
        <v>13</v>
      </c>
      <c r="B71" s="1" t="s">
        <v>44</v>
      </c>
      <c r="C71" s="1">
        <v>12</v>
      </c>
      <c r="D71" s="1" t="s">
        <v>43</v>
      </c>
      <c r="E71" s="8">
        <v>9316</v>
      </c>
      <c r="F71" s="1" t="s">
        <v>81</v>
      </c>
      <c r="G71" s="1">
        <v>2020</v>
      </c>
      <c r="H71" s="1" t="str">
        <f>IF(tblFLOWOD[[#This Row],[nama_asal]]=tblFLOWOD[[#This Row],[nama_tujuan]],"keluar","isi")</f>
        <v>isi</v>
      </c>
      <c r="I71" s="1" t="str">
        <f>METADATA_SOURCES!$A$2</f>
        <v>SRC001</v>
      </c>
    </row>
    <row r="72" spans="1:9" x14ac:dyDescent="0.3">
      <c r="A72" s="1">
        <v>13</v>
      </c>
      <c r="B72" s="1" t="s">
        <v>44</v>
      </c>
      <c r="C72" s="1">
        <v>13</v>
      </c>
      <c r="D72" s="1" t="s">
        <v>44</v>
      </c>
      <c r="E72" s="8">
        <v>5003182</v>
      </c>
      <c r="F72" s="1" t="s">
        <v>81</v>
      </c>
      <c r="G72" s="1">
        <v>2020</v>
      </c>
      <c r="H72" s="1" t="str">
        <f>IF(tblFLOWOD[[#This Row],[nama_asal]]=tblFLOWOD[[#This Row],[nama_tujuan]],"keluar","isi")</f>
        <v>keluar</v>
      </c>
      <c r="I72" s="1" t="str">
        <f>METADATA_SOURCES!$A$2</f>
        <v>SRC001</v>
      </c>
    </row>
    <row r="73" spans="1:9" x14ac:dyDescent="0.3">
      <c r="A73" s="1">
        <v>13</v>
      </c>
      <c r="B73" s="1" t="s">
        <v>44</v>
      </c>
      <c r="C73" s="1">
        <v>14</v>
      </c>
      <c r="D73" s="1" t="s">
        <v>45</v>
      </c>
      <c r="E73" s="8">
        <v>21359</v>
      </c>
      <c r="F73" s="1" t="s">
        <v>81</v>
      </c>
      <c r="G73" s="1">
        <v>2020</v>
      </c>
      <c r="H73" s="1" t="str">
        <f>IF(tblFLOWOD[[#This Row],[nama_asal]]=tblFLOWOD[[#This Row],[nama_tujuan]],"keluar","isi")</f>
        <v>isi</v>
      </c>
      <c r="I73" s="1" t="str">
        <f>METADATA_SOURCES!$A$2</f>
        <v>SRC001</v>
      </c>
    </row>
    <row r="74" spans="1:9" x14ac:dyDescent="0.3">
      <c r="A74" s="1">
        <v>13</v>
      </c>
      <c r="B74" s="1" t="s">
        <v>44</v>
      </c>
      <c r="C74" s="1">
        <v>15</v>
      </c>
      <c r="D74" s="1" t="s">
        <v>46</v>
      </c>
      <c r="E74" s="8">
        <v>8843</v>
      </c>
      <c r="F74" s="1" t="s">
        <v>81</v>
      </c>
      <c r="G74" s="1">
        <v>2020</v>
      </c>
      <c r="H74" s="1" t="str">
        <f>IF(tblFLOWOD[[#This Row],[nama_asal]]=tblFLOWOD[[#This Row],[nama_tujuan]],"keluar","isi")</f>
        <v>isi</v>
      </c>
      <c r="I74" s="1" t="str">
        <f>METADATA_SOURCES!$A$2</f>
        <v>SRC001</v>
      </c>
    </row>
    <row r="75" spans="1:9" x14ac:dyDescent="0.3">
      <c r="A75" s="1">
        <v>13</v>
      </c>
      <c r="B75" s="1" t="s">
        <v>44</v>
      </c>
      <c r="C75" s="1">
        <v>16</v>
      </c>
      <c r="D75" s="1" t="s">
        <v>47</v>
      </c>
      <c r="E75" s="8">
        <v>2304</v>
      </c>
      <c r="F75" s="1" t="s">
        <v>81</v>
      </c>
      <c r="G75" s="1">
        <v>2020</v>
      </c>
      <c r="H75" s="1" t="str">
        <f>IF(tblFLOWOD[[#This Row],[nama_asal]]=tblFLOWOD[[#This Row],[nama_tujuan]],"keluar","isi")</f>
        <v>isi</v>
      </c>
      <c r="I75" s="1" t="str">
        <f>METADATA_SOURCES!$A$2</f>
        <v>SRC001</v>
      </c>
    </row>
    <row r="76" spans="1:9" x14ac:dyDescent="0.3">
      <c r="A76" s="1">
        <v>13</v>
      </c>
      <c r="B76" s="1" t="s">
        <v>44</v>
      </c>
      <c r="C76" s="1">
        <v>17</v>
      </c>
      <c r="D76" s="1" t="s">
        <v>48</v>
      </c>
      <c r="E76" s="8">
        <v>2665</v>
      </c>
      <c r="F76" s="1" t="s">
        <v>81</v>
      </c>
      <c r="G76" s="1">
        <v>2020</v>
      </c>
      <c r="H76" s="1" t="str">
        <f>IF(tblFLOWOD[[#This Row],[nama_asal]]=tblFLOWOD[[#This Row],[nama_tujuan]],"keluar","isi")</f>
        <v>isi</v>
      </c>
      <c r="I76" s="1" t="str">
        <f>METADATA_SOURCES!$A$2</f>
        <v>SRC001</v>
      </c>
    </row>
    <row r="77" spans="1:9" x14ac:dyDescent="0.3">
      <c r="A77" s="1">
        <v>13</v>
      </c>
      <c r="B77" s="1" t="s">
        <v>44</v>
      </c>
      <c r="C77" s="1">
        <v>18</v>
      </c>
      <c r="D77" s="1" t="s">
        <v>49</v>
      </c>
      <c r="E77" s="8">
        <v>2031</v>
      </c>
      <c r="F77" s="1" t="s">
        <v>81</v>
      </c>
      <c r="G77" s="1">
        <v>2020</v>
      </c>
      <c r="H77" s="1" t="str">
        <f>IF(tblFLOWOD[[#This Row],[nama_asal]]=tblFLOWOD[[#This Row],[nama_tujuan]],"keluar","isi")</f>
        <v>isi</v>
      </c>
      <c r="I77" s="1" t="str">
        <f>METADATA_SOURCES!$A$2</f>
        <v>SRC001</v>
      </c>
    </row>
    <row r="78" spans="1:9" x14ac:dyDescent="0.3">
      <c r="A78" s="1">
        <v>13</v>
      </c>
      <c r="B78" s="1" t="s">
        <v>44</v>
      </c>
      <c r="C78" s="1">
        <v>19</v>
      </c>
      <c r="D78" s="1" t="s">
        <v>50</v>
      </c>
      <c r="E78" s="8">
        <v>590</v>
      </c>
      <c r="F78" s="1" t="s">
        <v>81</v>
      </c>
      <c r="G78" s="1">
        <v>2020</v>
      </c>
      <c r="H78" s="1" t="str">
        <f>IF(tblFLOWOD[[#This Row],[nama_asal]]=tblFLOWOD[[#This Row],[nama_tujuan]],"keluar","isi")</f>
        <v>isi</v>
      </c>
      <c r="I78" s="1" t="str">
        <f>METADATA_SOURCES!$A$2</f>
        <v>SRC001</v>
      </c>
    </row>
    <row r="79" spans="1:9" x14ac:dyDescent="0.3">
      <c r="A79" s="1">
        <v>13</v>
      </c>
      <c r="B79" s="1" t="s">
        <v>44</v>
      </c>
      <c r="C79" s="1">
        <v>21</v>
      </c>
      <c r="D79" s="1" t="s">
        <v>51</v>
      </c>
      <c r="E79" s="8">
        <v>11221</v>
      </c>
      <c r="F79" s="1" t="s">
        <v>81</v>
      </c>
      <c r="G79" s="1">
        <v>2020</v>
      </c>
      <c r="H79" s="1" t="str">
        <f>IF(tblFLOWOD[[#This Row],[nama_asal]]=tblFLOWOD[[#This Row],[nama_tujuan]],"keluar","isi")</f>
        <v>isi</v>
      </c>
      <c r="I79" s="1" t="str">
        <f>METADATA_SOURCES!$A$2</f>
        <v>SRC001</v>
      </c>
    </row>
    <row r="80" spans="1:9" x14ac:dyDescent="0.3">
      <c r="A80" s="1">
        <v>13</v>
      </c>
      <c r="B80" s="1" t="s">
        <v>44</v>
      </c>
      <c r="C80" s="1">
        <v>31</v>
      </c>
      <c r="D80" s="1" t="s">
        <v>52</v>
      </c>
      <c r="E80" s="8">
        <v>5040</v>
      </c>
      <c r="F80" s="1" t="s">
        <v>81</v>
      </c>
      <c r="G80" s="1">
        <v>2020</v>
      </c>
      <c r="H80" s="1" t="str">
        <f>IF(tblFLOWOD[[#This Row],[nama_asal]]=tblFLOWOD[[#This Row],[nama_tujuan]],"keluar","isi")</f>
        <v>isi</v>
      </c>
      <c r="I80" s="1" t="str">
        <f>METADATA_SOURCES!$A$2</f>
        <v>SRC001</v>
      </c>
    </row>
    <row r="81" spans="1:9" x14ac:dyDescent="0.3">
      <c r="A81" s="1">
        <v>13</v>
      </c>
      <c r="B81" s="1" t="s">
        <v>44</v>
      </c>
      <c r="C81" s="1">
        <v>32</v>
      </c>
      <c r="D81" s="1" t="s">
        <v>53</v>
      </c>
      <c r="E81" s="8">
        <v>12287</v>
      </c>
      <c r="F81" s="1" t="s">
        <v>81</v>
      </c>
      <c r="G81" s="1">
        <v>2020</v>
      </c>
      <c r="H81" s="1" t="str">
        <f>IF(tblFLOWOD[[#This Row],[nama_asal]]=tblFLOWOD[[#This Row],[nama_tujuan]],"keluar","isi")</f>
        <v>isi</v>
      </c>
      <c r="I81" s="1" t="str">
        <f>METADATA_SOURCES!$A$2</f>
        <v>SRC001</v>
      </c>
    </row>
    <row r="82" spans="1:9" x14ac:dyDescent="0.3">
      <c r="A82" s="1">
        <v>13</v>
      </c>
      <c r="B82" s="1" t="s">
        <v>44</v>
      </c>
      <c r="C82" s="1">
        <v>33</v>
      </c>
      <c r="D82" s="1" t="s">
        <v>54</v>
      </c>
      <c r="E82" s="8">
        <v>5212</v>
      </c>
      <c r="F82" s="1" t="s">
        <v>81</v>
      </c>
      <c r="G82" s="1">
        <v>2020</v>
      </c>
      <c r="H82" s="1" t="str">
        <f>IF(tblFLOWOD[[#This Row],[nama_asal]]=tblFLOWOD[[#This Row],[nama_tujuan]],"keluar","isi")</f>
        <v>isi</v>
      </c>
      <c r="I82" s="1" t="str">
        <f>METADATA_SOURCES!$A$2</f>
        <v>SRC001</v>
      </c>
    </row>
    <row r="83" spans="1:9" x14ac:dyDescent="0.3">
      <c r="A83" s="1">
        <v>13</v>
      </c>
      <c r="B83" s="1" t="s">
        <v>44</v>
      </c>
      <c r="C83" s="1">
        <v>34</v>
      </c>
      <c r="D83" s="1" t="s">
        <v>55</v>
      </c>
      <c r="E83" s="8">
        <v>1322</v>
      </c>
      <c r="F83" s="1" t="s">
        <v>81</v>
      </c>
      <c r="G83" s="1">
        <v>2020</v>
      </c>
      <c r="H83" s="1" t="str">
        <f>IF(tblFLOWOD[[#This Row],[nama_asal]]=tblFLOWOD[[#This Row],[nama_tujuan]],"keluar","isi")</f>
        <v>isi</v>
      </c>
      <c r="I83" s="1" t="str">
        <f>METADATA_SOURCES!$A$2</f>
        <v>SRC001</v>
      </c>
    </row>
    <row r="84" spans="1:9" x14ac:dyDescent="0.3">
      <c r="A84" s="1">
        <v>13</v>
      </c>
      <c r="B84" s="1" t="s">
        <v>44</v>
      </c>
      <c r="C84" s="1">
        <v>35</v>
      </c>
      <c r="D84" s="1" t="s">
        <v>56</v>
      </c>
      <c r="E84" s="8">
        <v>2377</v>
      </c>
      <c r="F84" s="1" t="s">
        <v>81</v>
      </c>
      <c r="G84" s="1">
        <v>2020</v>
      </c>
      <c r="H84" s="1" t="str">
        <f>IF(tblFLOWOD[[#This Row],[nama_asal]]=tblFLOWOD[[#This Row],[nama_tujuan]],"keluar","isi")</f>
        <v>isi</v>
      </c>
      <c r="I84" s="1" t="str">
        <f>METADATA_SOURCES!$A$2</f>
        <v>SRC001</v>
      </c>
    </row>
    <row r="85" spans="1:9" x14ac:dyDescent="0.3">
      <c r="A85" s="1">
        <v>13</v>
      </c>
      <c r="B85" s="1" t="s">
        <v>44</v>
      </c>
      <c r="C85" s="1">
        <v>36</v>
      </c>
      <c r="D85" s="1" t="s">
        <v>57</v>
      </c>
      <c r="E85" s="8">
        <v>2469</v>
      </c>
      <c r="F85" s="1" t="s">
        <v>81</v>
      </c>
      <c r="G85" s="1">
        <v>2020</v>
      </c>
      <c r="H85" s="1" t="str">
        <f>IF(tblFLOWOD[[#This Row],[nama_asal]]=tblFLOWOD[[#This Row],[nama_tujuan]],"keluar","isi")</f>
        <v>isi</v>
      </c>
      <c r="I85" s="1" t="str">
        <f>METADATA_SOURCES!$A$2</f>
        <v>SRC001</v>
      </c>
    </row>
    <row r="86" spans="1:9" x14ac:dyDescent="0.3">
      <c r="A86" s="1">
        <v>13</v>
      </c>
      <c r="B86" s="1" t="s">
        <v>44</v>
      </c>
      <c r="C86" s="1">
        <v>51</v>
      </c>
      <c r="D86" s="1" t="s">
        <v>58</v>
      </c>
      <c r="E86" s="8">
        <v>190</v>
      </c>
      <c r="F86" s="1" t="s">
        <v>81</v>
      </c>
      <c r="G86" s="1">
        <v>2020</v>
      </c>
      <c r="H86" s="1" t="str">
        <f>IF(tblFLOWOD[[#This Row],[nama_asal]]=tblFLOWOD[[#This Row],[nama_tujuan]],"keluar","isi")</f>
        <v>isi</v>
      </c>
      <c r="I86" s="1" t="str">
        <f>METADATA_SOURCES!$A$2</f>
        <v>SRC001</v>
      </c>
    </row>
    <row r="87" spans="1:9" x14ac:dyDescent="0.3">
      <c r="A87" s="1">
        <v>13</v>
      </c>
      <c r="B87" s="1" t="s">
        <v>44</v>
      </c>
      <c r="C87" s="1">
        <v>52</v>
      </c>
      <c r="D87" s="1" t="s">
        <v>59</v>
      </c>
      <c r="E87" s="8">
        <v>700</v>
      </c>
      <c r="F87" s="1" t="s">
        <v>81</v>
      </c>
      <c r="G87" s="1">
        <v>2020</v>
      </c>
      <c r="H87" s="1" t="str">
        <f>IF(tblFLOWOD[[#This Row],[nama_asal]]=tblFLOWOD[[#This Row],[nama_tujuan]],"keluar","isi")</f>
        <v>isi</v>
      </c>
      <c r="I87" s="1" t="str">
        <f>METADATA_SOURCES!$A$2</f>
        <v>SRC001</v>
      </c>
    </row>
    <row r="88" spans="1:9" x14ac:dyDescent="0.3">
      <c r="A88" s="1">
        <v>13</v>
      </c>
      <c r="B88" s="1" t="s">
        <v>44</v>
      </c>
      <c r="C88" s="1">
        <v>53</v>
      </c>
      <c r="D88" s="1" t="s">
        <v>60</v>
      </c>
      <c r="E88" s="8">
        <v>335</v>
      </c>
      <c r="F88" s="1" t="s">
        <v>81</v>
      </c>
      <c r="G88" s="1">
        <v>2020</v>
      </c>
      <c r="H88" s="1" t="str">
        <f>IF(tblFLOWOD[[#This Row],[nama_asal]]=tblFLOWOD[[#This Row],[nama_tujuan]],"keluar","isi")</f>
        <v>isi</v>
      </c>
      <c r="I88" s="1" t="str">
        <f>METADATA_SOURCES!$A$2</f>
        <v>SRC001</v>
      </c>
    </row>
    <row r="89" spans="1:9" x14ac:dyDescent="0.3">
      <c r="A89" s="1">
        <v>13</v>
      </c>
      <c r="B89" s="1" t="s">
        <v>44</v>
      </c>
      <c r="C89" s="1">
        <v>61</v>
      </c>
      <c r="D89" s="1" t="s">
        <v>61</v>
      </c>
      <c r="E89" s="8">
        <v>671</v>
      </c>
      <c r="F89" s="1" t="s">
        <v>81</v>
      </c>
      <c r="G89" s="1">
        <v>2020</v>
      </c>
      <c r="H89" s="1" t="str">
        <f>IF(tblFLOWOD[[#This Row],[nama_asal]]=tblFLOWOD[[#This Row],[nama_tujuan]],"keluar","isi")</f>
        <v>isi</v>
      </c>
      <c r="I89" s="1" t="str">
        <f>METADATA_SOURCES!$A$2</f>
        <v>SRC001</v>
      </c>
    </row>
    <row r="90" spans="1:9" x14ac:dyDescent="0.3">
      <c r="A90" s="1">
        <v>13</v>
      </c>
      <c r="B90" s="1" t="s">
        <v>44</v>
      </c>
      <c r="C90" s="1">
        <v>62</v>
      </c>
      <c r="D90" s="1" t="s">
        <v>62</v>
      </c>
      <c r="E90" s="8">
        <v>399</v>
      </c>
      <c r="F90" s="1" t="s">
        <v>81</v>
      </c>
      <c r="G90" s="1">
        <v>2020</v>
      </c>
      <c r="H90" s="1" t="str">
        <f>IF(tblFLOWOD[[#This Row],[nama_asal]]=tblFLOWOD[[#This Row],[nama_tujuan]],"keluar","isi")</f>
        <v>isi</v>
      </c>
      <c r="I90" s="1" t="str">
        <f>METADATA_SOURCES!$A$2</f>
        <v>SRC001</v>
      </c>
    </row>
    <row r="91" spans="1:9" x14ac:dyDescent="0.3">
      <c r="A91" s="1">
        <v>13</v>
      </c>
      <c r="B91" s="1" t="s">
        <v>44</v>
      </c>
      <c r="C91" s="1">
        <v>63</v>
      </c>
      <c r="D91" s="1" t="s">
        <v>63</v>
      </c>
      <c r="E91" s="8">
        <v>281</v>
      </c>
      <c r="F91" s="1" t="s">
        <v>81</v>
      </c>
      <c r="G91" s="1">
        <v>2020</v>
      </c>
      <c r="H91" s="1" t="str">
        <f>IF(tblFLOWOD[[#This Row],[nama_asal]]=tblFLOWOD[[#This Row],[nama_tujuan]],"keluar","isi")</f>
        <v>isi</v>
      </c>
      <c r="I91" s="1" t="str">
        <f>METADATA_SOURCES!$A$2</f>
        <v>SRC001</v>
      </c>
    </row>
    <row r="92" spans="1:9" x14ac:dyDescent="0.3">
      <c r="A92" s="1">
        <v>13</v>
      </c>
      <c r="B92" s="1" t="s">
        <v>44</v>
      </c>
      <c r="C92" s="1">
        <v>64</v>
      </c>
      <c r="D92" s="1" t="s">
        <v>64</v>
      </c>
      <c r="E92" s="8">
        <v>638</v>
      </c>
      <c r="F92" s="1" t="s">
        <v>81</v>
      </c>
      <c r="G92" s="1">
        <v>2020</v>
      </c>
      <c r="H92" s="1" t="str">
        <f>IF(tblFLOWOD[[#This Row],[nama_asal]]=tblFLOWOD[[#This Row],[nama_tujuan]],"keluar","isi")</f>
        <v>isi</v>
      </c>
      <c r="I92" s="1" t="str">
        <f>METADATA_SOURCES!$A$2</f>
        <v>SRC001</v>
      </c>
    </row>
    <row r="93" spans="1:9" x14ac:dyDescent="0.3">
      <c r="A93" s="1">
        <v>13</v>
      </c>
      <c r="B93" s="1" t="s">
        <v>44</v>
      </c>
      <c r="C93" s="1">
        <v>65</v>
      </c>
      <c r="D93" s="1" t="s">
        <v>65</v>
      </c>
      <c r="E93" s="8">
        <v>29</v>
      </c>
      <c r="F93" s="1" t="s">
        <v>81</v>
      </c>
      <c r="G93" s="1">
        <v>2020</v>
      </c>
      <c r="H93" s="1" t="str">
        <f>IF(tblFLOWOD[[#This Row],[nama_asal]]=tblFLOWOD[[#This Row],[nama_tujuan]],"keluar","isi")</f>
        <v>isi</v>
      </c>
      <c r="I93" s="1" t="str">
        <f>METADATA_SOURCES!$A$2</f>
        <v>SRC001</v>
      </c>
    </row>
    <row r="94" spans="1:9" x14ac:dyDescent="0.3">
      <c r="A94" s="1">
        <v>13</v>
      </c>
      <c r="B94" s="1" t="s">
        <v>44</v>
      </c>
      <c r="C94" s="1">
        <v>71</v>
      </c>
      <c r="D94" s="1" t="s">
        <v>66</v>
      </c>
      <c r="E94" s="8">
        <v>18</v>
      </c>
      <c r="F94" s="1" t="s">
        <v>81</v>
      </c>
      <c r="G94" s="1">
        <v>2020</v>
      </c>
      <c r="H94" s="1" t="str">
        <f>IF(tblFLOWOD[[#This Row],[nama_asal]]=tblFLOWOD[[#This Row],[nama_tujuan]],"keluar","isi")</f>
        <v>isi</v>
      </c>
      <c r="I94" s="1" t="str">
        <f>METADATA_SOURCES!$A$2</f>
        <v>SRC001</v>
      </c>
    </row>
    <row r="95" spans="1:9" x14ac:dyDescent="0.3">
      <c r="A95" s="1">
        <v>13</v>
      </c>
      <c r="B95" s="1" t="s">
        <v>44</v>
      </c>
      <c r="C95" s="1">
        <v>72</v>
      </c>
      <c r="D95" s="1" t="s">
        <v>67</v>
      </c>
      <c r="E95" s="8">
        <v>262</v>
      </c>
      <c r="F95" s="1" t="s">
        <v>81</v>
      </c>
      <c r="G95" s="1">
        <v>2020</v>
      </c>
      <c r="H95" s="1" t="str">
        <f>IF(tblFLOWOD[[#This Row],[nama_asal]]=tblFLOWOD[[#This Row],[nama_tujuan]],"keluar","isi")</f>
        <v>isi</v>
      </c>
      <c r="I95" s="1" t="str">
        <f>METADATA_SOURCES!$A$2</f>
        <v>SRC001</v>
      </c>
    </row>
    <row r="96" spans="1:9" x14ac:dyDescent="0.3">
      <c r="A96" s="1">
        <v>13</v>
      </c>
      <c r="B96" s="1" t="s">
        <v>44</v>
      </c>
      <c r="C96" s="1">
        <v>73</v>
      </c>
      <c r="D96" s="1" t="s">
        <v>68</v>
      </c>
      <c r="E96" s="8">
        <v>650</v>
      </c>
      <c r="F96" s="1" t="s">
        <v>81</v>
      </c>
      <c r="G96" s="1">
        <v>2020</v>
      </c>
      <c r="H96" s="1" t="str">
        <f>IF(tblFLOWOD[[#This Row],[nama_asal]]=tblFLOWOD[[#This Row],[nama_tujuan]],"keluar","isi")</f>
        <v>isi</v>
      </c>
      <c r="I96" s="1" t="str">
        <f>METADATA_SOURCES!$A$2</f>
        <v>SRC001</v>
      </c>
    </row>
    <row r="97" spans="1:9" x14ac:dyDescent="0.3">
      <c r="A97" s="1">
        <v>13</v>
      </c>
      <c r="B97" s="1" t="s">
        <v>44</v>
      </c>
      <c r="C97" s="1">
        <v>74</v>
      </c>
      <c r="D97" s="1" t="s">
        <v>69</v>
      </c>
      <c r="E97" s="8">
        <v>147</v>
      </c>
      <c r="F97" s="1" t="s">
        <v>81</v>
      </c>
      <c r="G97" s="1">
        <v>2020</v>
      </c>
      <c r="H97" s="1" t="str">
        <f>IF(tblFLOWOD[[#This Row],[nama_asal]]=tblFLOWOD[[#This Row],[nama_tujuan]],"keluar","isi")</f>
        <v>isi</v>
      </c>
      <c r="I97" s="1" t="str">
        <f>METADATA_SOURCES!$A$2</f>
        <v>SRC001</v>
      </c>
    </row>
    <row r="98" spans="1:9" x14ac:dyDescent="0.3">
      <c r="A98" s="1">
        <v>13</v>
      </c>
      <c r="B98" s="1" t="s">
        <v>44</v>
      </c>
      <c r="C98" s="1">
        <v>75</v>
      </c>
      <c r="D98" s="1" t="s">
        <v>70</v>
      </c>
      <c r="E98" s="8">
        <v>27</v>
      </c>
      <c r="F98" s="1" t="s">
        <v>81</v>
      </c>
      <c r="G98" s="1">
        <v>2020</v>
      </c>
      <c r="H98" s="1" t="str">
        <f>IF(tblFLOWOD[[#This Row],[nama_asal]]=tblFLOWOD[[#This Row],[nama_tujuan]],"keluar","isi")</f>
        <v>isi</v>
      </c>
      <c r="I98" s="1" t="str">
        <f>METADATA_SOURCES!$A$2</f>
        <v>SRC001</v>
      </c>
    </row>
    <row r="99" spans="1:9" x14ac:dyDescent="0.3">
      <c r="A99" s="1">
        <v>13</v>
      </c>
      <c r="B99" s="1" t="s">
        <v>44</v>
      </c>
      <c r="C99" s="1">
        <v>76</v>
      </c>
      <c r="D99" s="1" t="s">
        <v>71</v>
      </c>
      <c r="E99" s="8">
        <v>56</v>
      </c>
      <c r="F99" s="1" t="s">
        <v>81</v>
      </c>
      <c r="G99" s="1">
        <v>2020</v>
      </c>
      <c r="H99" s="1" t="str">
        <f>IF(tblFLOWOD[[#This Row],[nama_asal]]=tblFLOWOD[[#This Row],[nama_tujuan]],"keluar","isi")</f>
        <v>isi</v>
      </c>
      <c r="I99" s="1" t="str">
        <f>METADATA_SOURCES!$A$2</f>
        <v>SRC001</v>
      </c>
    </row>
    <row r="100" spans="1:9" x14ac:dyDescent="0.3">
      <c r="A100" s="1">
        <v>13</v>
      </c>
      <c r="B100" s="1" t="s">
        <v>44</v>
      </c>
      <c r="C100" s="1">
        <v>81</v>
      </c>
      <c r="D100" s="1" t="s">
        <v>72</v>
      </c>
      <c r="E100" s="8">
        <v>64</v>
      </c>
      <c r="F100" s="1" t="s">
        <v>81</v>
      </c>
      <c r="G100" s="1">
        <v>2020</v>
      </c>
      <c r="H100" s="1" t="str">
        <f>IF(tblFLOWOD[[#This Row],[nama_asal]]=tblFLOWOD[[#This Row],[nama_tujuan]],"keluar","isi")</f>
        <v>isi</v>
      </c>
      <c r="I100" s="1" t="str">
        <f>METADATA_SOURCES!$A$2</f>
        <v>SRC001</v>
      </c>
    </row>
    <row r="101" spans="1:9" x14ac:dyDescent="0.3">
      <c r="A101" s="1">
        <v>13</v>
      </c>
      <c r="B101" s="1" t="s">
        <v>44</v>
      </c>
      <c r="C101" s="1">
        <v>82</v>
      </c>
      <c r="D101" s="1" t="s">
        <v>73</v>
      </c>
      <c r="E101" s="8">
        <v>135</v>
      </c>
      <c r="F101" s="1" t="s">
        <v>81</v>
      </c>
      <c r="G101" s="1">
        <v>2020</v>
      </c>
      <c r="H101" s="1" t="str">
        <f>IF(tblFLOWOD[[#This Row],[nama_asal]]=tblFLOWOD[[#This Row],[nama_tujuan]],"keluar","isi")</f>
        <v>isi</v>
      </c>
      <c r="I101" s="1" t="str">
        <f>METADATA_SOURCES!$A$2</f>
        <v>SRC001</v>
      </c>
    </row>
    <row r="102" spans="1:9" x14ac:dyDescent="0.3">
      <c r="A102" s="1">
        <v>13</v>
      </c>
      <c r="B102" s="1" t="s">
        <v>44</v>
      </c>
      <c r="C102" s="1">
        <v>91</v>
      </c>
      <c r="D102" s="1" t="s">
        <v>74</v>
      </c>
      <c r="E102" s="8">
        <v>108</v>
      </c>
      <c r="F102" s="1" t="s">
        <v>81</v>
      </c>
      <c r="G102" s="1">
        <v>2020</v>
      </c>
      <c r="H102" s="1" t="str">
        <f>IF(tblFLOWOD[[#This Row],[nama_asal]]=tblFLOWOD[[#This Row],[nama_tujuan]],"keluar","isi")</f>
        <v>isi</v>
      </c>
      <c r="I102" s="1" t="str">
        <f>METADATA_SOURCES!$A$2</f>
        <v>SRC001</v>
      </c>
    </row>
    <row r="103" spans="1:9" x14ac:dyDescent="0.3">
      <c r="A103" s="1">
        <v>13</v>
      </c>
      <c r="B103" s="1" t="s">
        <v>44</v>
      </c>
      <c r="C103" s="1">
        <v>94</v>
      </c>
      <c r="D103" s="1" t="s">
        <v>75</v>
      </c>
      <c r="E103" s="8">
        <v>163</v>
      </c>
      <c r="F103" s="1" t="s">
        <v>81</v>
      </c>
      <c r="G103" s="1">
        <v>2020</v>
      </c>
      <c r="H103" s="1" t="str">
        <f>IF(tblFLOWOD[[#This Row],[nama_asal]]=tblFLOWOD[[#This Row],[nama_tujuan]],"keluar","isi")</f>
        <v>isi</v>
      </c>
      <c r="I103" s="1" t="str">
        <f>METADATA_SOURCES!$A$2</f>
        <v>SRC001</v>
      </c>
    </row>
    <row r="104" spans="1:9" x14ac:dyDescent="0.3">
      <c r="A104" s="1">
        <v>14</v>
      </c>
      <c r="B104" s="1" t="s">
        <v>45</v>
      </c>
      <c r="C104" s="1">
        <v>11</v>
      </c>
      <c r="D104" s="1" t="s">
        <v>42</v>
      </c>
      <c r="E104" s="8">
        <v>2076</v>
      </c>
      <c r="F104" s="1" t="s">
        <v>81</v>
      </c>
      <c r="G104" s="1">
        <v>2020</v>
      </c>
      <c r="H104" s="1" t="str">
        <f>IF(tblFLOWOD[[#This Row],[nama_asal]]=tblFLOWOD[[#This Row],[nama_tujuan]],"keluar","isi")</f>
        <v>isi</v>
      </c>
      <c r="I104" s="1" t="str">
        <f>METADATA_SOURCES!$A$2</f>
        <v>SRC001</v>
      </c>
    </row>
    <row r="105" spans="1:9" x14ac:dyDescent="0.3">
      <c r="A105" s="1">
        <v>14</v>
      </c>
      <c r="B105" s="1" t="s">
        <v>45</v>
      </c>
      <c r="C105" s="1">
        <v>12</v>
      </c>
      <c r="D105" s="1" t="s">
        <v>43</v>
      </c>
      <c r="E105" s="8">
        <v>49179</v>
      </c>
      <c r="F105" s="1" t="s">
        <v>81</v>
      </c>
      <c r="G105" s="1">
        <v>2020</v>
      </c>
      <c r="H105" s="1" t="str">
        <f>IF(tblFLOWOD[[#This Row],[nama_asal]]=tblFLOWOD[[#This Row],[nama_tujuan]],"keluar","isi")</f>
        <v>isi</v>
      </c>
      <c r="I105" s="1" t="str">
        <f>METADATA_SOURCES!$A$2</f>
        <v>SRC001</v>
      </c>
    </row>
    <row r="106" spans="1:9" x14ac:dyDescent="0.3">
      <c r="A106" s="1">
        <v>14</v>
      </c>
      <c r="B106" s="1" t="s">
        <v>45</v>
      </c>
      <c r="C106" s="1">
        <v>13</v>
      </c>
      <c r="D106" s="1" t="s">
        <v>44</v>
      </c>
      <c r="E106" s="8">
        <v>45624</v>
      </c>
      <c r="F106" s="1" t="s">
        <v>81</v>
      </c>
      <c r="G106" s="1">
        <v>2020</v>
      </c>
      <c r="H106" s="1" t="str">
        <f>IF(tblFLOWOD[[#This Row],[nama_asal]]=tblFLOWOD[[#This Row],[nama_tujuan]],"keluar","isi")</f>
        <v>isi</v>
      </c>
      <c r="I106" s="1" t="str">
        <f>METADATA_SOURCES!$A$2</f>
        <v>SRC001</v>
      </c>
    </row>
    <row r="107" spans="1:9" x14ac:dyDescent="0.3">
      <c r="A107" s="1">
        <v>14</v>
      </c>
      <c r="B107" s="1" t="s">
        <v>45</v>
      </c>
      <c r="C107" s="1">
        <v>14</v>
      </c>
      <c r="D107" s="1" t="s">
        <v>45</v>
      </c>
      <c r="E107" s="8">
        <v>5865452</v>
      </c>
      <c r="F107" s="1" t="s">
        <v>81</v>
      </c>
      <c r="G107" s="1">
        <v>2020</v>
      </c>
      <c r="H107" s="1" t="str">
        <f>IF(tblFLOWOD[[#This Row],[nama_asal]]=tblFLOWOD[[#This Row],[nama_tujuan]],"keluar","isi")</f>
        <v>keluar</v>
      </c>
      <c r="I107" s="1" t="str">
        <f>METADATA_SOURCES!$A$2</f>
        <v>SRC001</v>
      </c>
    </row>
    <row r="108" spans="1:9" x14ac:dyDescent="0.3">
      <c r="A108" s="1">
        <v>14</v>
      </c>
      <c r="B108" s="1" t="s">
        <v>45</v>
      </c>
      <c r="C108" s="1">
        <v>15</v>
      </c>
      <c r="D108" s="1" t="s">
        <v>46</v>
      </c>
      <c r="E108" s="8">
        <v>5030</v>
      </c>
      <c r="F108" s="1" t="s">
        <v>81</v>
      </c>
      <c r="G108" s="1">
        <v>2020</v>
      </c>
      <c r="H108" s="1" t="str">
        <f>IF(tblFLOWOD[[#This Row],[nama_asal]]=tblFLOWOD[[#This Row],[nama_tujuan]],"keluar","isi")</f>
        <v>isi</v>
      </c>
      <c r="I108" s="1" t="str">
        <f>METADATA_SOURCES!$A$2</f>
        <v>SRC001</v>
      </c>
    </row>
    <row r="109" spans="1:9" x14ac:dyDescent="0.3">
      <c r="A109" s="1">
        <v>14</v>
      </c>
      <c r="B109" s="1" t="s">
        <v>45</v>
      </c>
      <c r="C109" s="1">
        <v>16</v>
      </c>
      <c r="D109" s="1" t="s">
        <v>47</v>
      </c>
      <c r="E109" s="8">
        <v>2547</v>
      </c>
      <c r="F109" s="1" t="s">
        <v>81</v>
      </c>
      <c r="G109" s="1">
        <v>2020</v>
      </c>
      <c r="H109" s="1" t="str">
        <f>IF(tblFLOWOD[[#This Row],[nama_asal]]=tblFLOWOD[[#This Row],[nama_tujuan]],"keluar","isi")</f>
        <v>isi</v>
      </c>
      <c r="I109" s="1" t="str">
        <f>METADATA_SOURCES!$A$2</f>
        <v>SRC001</v>
      </c>
    </row>
    <row r="110" spans="1:9" x14ac:dyDescent="0.3">
      <c r="A110" s="1">
        <v>14</v>
      </c>
      <c r="B110" s="1" t="s">
        <v>45</v>
      </c>
      <c r="C110" s="1">
        <v>17</v>
      </c>
      <c r="D110" s="1" t="s">
        <v>48</v>
      </c>
      <c r="E110" s="8">
        <v>1230</v>
      </c>
      <c r="F110" s="1" t="s">
        <v>81</v>
      </c>
      <c r="G110" s="1">
        <v>2020</v>
      </c>
      <c r="H110" s="1" t="str">
        <f>IF(tblFLOWOD[[#This Row],[nama_asal]]=tblFLOWOD[[#This Row],[nama_tujuan]],"keluar","isi")</f>
        <v>isi</v>
      </c>
      <c r="I110" s="1" t="str">
        <f>METADATA_SOURCES!$A$2</f>
        <v>SRC001</v>
      </c>
    </row>
    <row r="111" spans="1:9" x14ac:dyDescent="0.3">
      <c r="A111" s="1">
        <v>14</v>
      </c>
      <c r="B111" s="1" t="s">
        <v>45</v>
      </c>
      <c r="C111" s="1">
        <v>18</v>
      </c>
      <c r="D111" s="1" t="s">
        <v>49</v>
      </c>
      <c r="E111" s="8">
        <v>2383</v>
      </c>
      <c r="F111" s="1" t="s">
        <v>81</v>
      </c>
      <c r="G111" s="1">
        <v>2020</v>
      </c>
      <c r="H111" s="1" t="str">
        <f>IF(tblFLOWOD[[#This Row],[nama_asal]]=tblFLOWOD[[#This Row],[nama_tujuan]],"keluar","isi")</f>
        <v>isi</v>
      </c>
      <c r="I111" s="1" t="str">
        <f>METADATA_SOURCES!$A$2</f>
        <v>SRC001</v>
      </c>
    </row>
    <row r="112" spans="1:9" x14ac:dyDescent="0.3">
      <c r="A112" s="1">
        <v>14</v>
      </c>
      <c r="B112" s="1" t="s">
        <v>45</v>
      </c>
      <c r="C112" s="1">
        <v>19</v>
      </c>
      <c r="D112" s="1" t="s">
        <v>50</v>
      </c>
      <c r="E112" s="8">
        <v>344</v>
      </c>
      <c r="F112" s="1" t="s">
        <v>81</v>
      </c>
      <c r="G112" s="1">
        <v>2020</v>
      </c>
      <c r="H112" s="1" t="str">
        <f>IF(tblFLOWOD[[#This Row],[nama_asal]]=tblFLOWOD[[#This Row],[nama_tujuan]],"keluar","isi")</f>
        <v>isi</v>
      </c>
      <c r="I112" s="1" t="str">
        <f>METADATA_SOURCES!$A$2</f>
        <v>SRC001</v>
      </c>
    </row>
    <row r="113" spans="1:9" x14ac:dyDescent="0.3">
      <c r="A113" s="1">
        <v>14</v>
      </c>
      <c r="B113" s="1" t="s">
        <v>45</v>
      </c>
      <c r="C113" s="1">
        <v>21</v>
      </c>
      <c r="D113" s="1" t="s">
        <v>51</v>
      </c>
      <c r="E113" s="8">
        <v>13622</v>
      </c>
      <c r="F113" s="1" t="s">
        <v>81</v>
      </c>
      <c r="G113" s="1">
        <v>2020</v>
      </c>
      <c r="H113" s="1" t="str">
        <f>IF(tblFLOWOD[[#This Row],[nama_asal]]=tblFLOWOD[[#This Row],[nama_tujuan]],"keluar","isi")</f>
        <v>isi</v>
      </c>
      <c r="I113" s="1" t="str">
        <f>METADATA_SOURCES!$A$2</f>
        <v>SRC001</v>
      </c>
    </row>
    <row r="114" spans="1:9" x14ac:dyDescent="0.3">
      <c r="A114" s="1">
        <v>14</v>
      </c>
      <c r="B114" s="1" t="s">
        <v>45</v>
      </c>
      <c r="C114" s="1">
        <v>31</v>
      </c>
      <c r="D114" s="1" t="s">
        <v>52</v>
      </c>
      <c r="E114" s="8">
        <v>2317</v>
      </c>
      <c r="F114" s="1" t="s">
        <v>81</v>
      </c>
      <c r="G114" s="1">
        <v>2020</v>
      </c>
      <c r="H114" s="1" t="str">
        <f>IF(tblFLOWOD[[#This Row],[nama_asal]]=tblFLOWOD[[#This Row],[nama_tujuan]],"keluar","isi")</f>
        <v>isi</v>
      </c>
      <c r="I114" s="1" t="str">
        <f>METADATA_SOURCES!$A$2</f>
        <v>SRC001</v>
      </c>
    </row>
    <row r="115" spans="1:9" x14ac:dyDescent="0.3">
      <c r="A115" s="1">
        <v>14</v>
      </c>
      <c r="B115" s="1" t="s">
        <v>45</v>
      </c>
      <c r="C115" s="1">
        <v>32</v>
      </c>
      <c r="D115" s="1" t="s">
        <v>53</v>
      </c>
      <c r="E115" s="8">
        <v>5251</v>
      </c>
      <c r="F115" s="1" t="s">
        <v>81</v>
      </c>
      <c r="G115" s="1">
        <v>2020</v>
      </c>
      <c r="H115" s="1" t="str">
        <f>IF(tblFLOWOD[[#This Row],[nama_asal]]=tblFLOWOD[[#This Row],[nama_tujuan]],"keluar","isi")</f>
        <v>isi</v>
      </c>
      <c r="I115" s="1" t="str">
        <f>METADATA_SOURCES!$A$2</f>
        <v>SRC001</v>
      </c>
    </row>
    <row r="116" spans="1:9" x14ac:dyDescent="0.3">
      <c r="A116" s="1">
        <v>14</v>
      </c>
      <c r="B116" s="1" t="s">
        <v>45</v>
      </c>
      <c r="C116" s="1">
        <v>33</v>
      </c>
      <c r="D116" s="1" t="s">
        <v>54</v>
      </c>
      <c r="E116" s="8">
        <v>8893</v>
      </c>
      <c r="F116" s="1" t="s">
        <v>81</v>
      </c>
      <c r="G116" s="1">
        <v>2020</v>
      </c>
      <c r="H116" s="1" t="str">
        <f>IF(tblFLOWOD[[#This Row],[nama_asal]]=tblFLOWOD[[#This Row],[nama_tujuan]],"keluar","isi")</f>
        <v>isi</v>
      </c>
      <c r="I116" s="1" t="str">
        <f>METADATA_SOURCES!$A$2</f>
        <v>SRC001</v>
      </c>
    </row>
    <row r="117" spans="1:9" x14ac:dyDescent="0.3">
      <c r="A117" s="1">
        <v>14</v>
      </c>
      <c r="B117" s="1" t="s">
        <v>45</v>
      </c>
      <c r="C117" s="1">
        <v>34</v>
      </c>
      <c r="D117" s="1" t="s">
        <v>55</v>
      </c>
      <c r="E117" s="8">
        <v>3505</v>
      </c>
      <c r="F117" s="1" t="s">
        <v>81</v>
      </c>
      <c r="G117" s="1">
        <v>2020</v>
      </c>
      <c r="H117" s="1" t="str">
        <f>IF(tblFLOWOD[[#This Row],[nama_asal]]=tblFLOWOD[[#This Row],[nama_tujuan]],"keluar","isi")</f>
        <v>isi</v>
      </c>
      <c r="I117" s="1" t="str">
        <f>METADATA_SOURCES!$A$2</f>
        <v>SRC001</v>
      </c>
    </row>
    <row r="118" spans="1:9" x14ac:dyDescent="0.3">
      <c r="A118" s="1">
        <v>14</v>
      </c>
      <c r="B118" s="1" t="s">
        <v>45</v>
      </c>
      <c r="C118" s="1">
        <v>35</v>
      </c>
      <c r="D118" s="1" t="s">
        <v>56</v>
      </c>
      <c r="E118" s="8">
        <v>4530</v>
      </c>
      <c r="F118" s="1" t="s">
        <v>81</v>
      </c>
      <c r="G118" s="1">
        <v>2020</v>
      </c>
      <c r="H118" s="1" t="str">
        <f>IF(tblFLOWOD[[#This Row],[nama_asal]]=tblFLOWOD[[#This Row],[nama_tujuan]],"keluar","isi")</f>
        <v>isi</v>
      </c>
      <c r="I118" s="1" t="str">
        <f>METADATA_SOURCES!$A$2</f>
        <v>SRC001</v>
      </c>
    </row>
    <row r="119" spans="1:9" x14ac:dyDescent="0.3">
      <c r="A119" s="1">
        <v>14</v>
      </c>
      <c r="B119" s="1" t="s">
        <v>45</v>
      </c>
      <c r="C119" s="1">
        <v>36</v>
      </c>
      <c r="D119" s="1" t="s">
        <v>57</v>
      </c>
      <c r="E119" s="8">
        <v>1339</v>
      </c>
      <c r="F119" s="1" t="s">
        <v>81</v>
      </c>
      <c r="G119" s="1">
        <v>2020</v>
      </c>
      <c r="H119" s="1" t="str">
        <f>IF(tblFLOWOD[[#This Row],[nama_asal]]=tblFLOWOD[[#This Row],[nama_tujuan]],"keluar","isi")</f>
        <v>isi</v>
      </c>
      <c r="I119" s="1" t="str">
        <f>METADATA_SOURCES!$A$2</f>
        <v>SRC001</v>
      </c>
    </row>
    <row r="120" spans="1:9" x14ac:dyDescent="0.3">
      <c r="A120" s="1">
        <v>14</v>
      </c>
      <c r="B120" s="1" t="s">
        <v>45</v>
      </c>
      <c r="C120" s="1">
        <v>51</v>
      </c>
      <c r="D120" s="1" t="s">
        <v>58</v>
      </c>
      <c r="E120" s="8">
        <v>222</v>
      </c>
      <c r="F120" s="1" t="s">
        <v>81</v>
      </c>
      <c r="G120" s="1">
        <v>2020</v>
      </c>
      <c r="H120" s="1" t="str">
        <f>IF(tblFLOWOD[[#This Row],[nama_asal]]=tblFLOWOD[[#This Row],[nama_tujuan]],"keluar","isi")</f>
        <v>isi</v>
      </c>
      <c r="I120" s="1" t="str">
        <f>METADATA_SOURCES!$A$2</f>
        <v>SRC001</v>
      </c>
    </row>
    <row r="121" spans="1:9" x14ac:dyDescent="0.3">
      <c r="A121" s="1">
        <v>14</v>
      </c>
      <c r="B121" s="1" t="s">
        <v>45</v>
      </c>
      <c r="C121" s="1">
        <v>52</v>
      </c>
      <c r="D121" s="1" t="s">
        <v>59</v>
      </c>
      <c r="E121" s="8">
        <v>678</v>
      </c>
      <c r="F121" s="1" t="s">
        <v>81</v>
      </c>
      <c r="G121" s="1">
        <v>2020</v>
      </c>
      <c r="H121" s="1" t="str">
        <f>IF(tblFLOWOD[[#This Row],[nama_asal]]=tblFLOWOD[[#This Row],[nama_tujuan]],"keluar","isi")</f>
        <v>isi</v>
      </c>
      <c r="I121" s="1" t="str">
        <f>METADATA_SOURCES!$A$2</f>
        <v>SRC001</v>
      </c>
    </row>
    <row r="122" spans="1:9" x14ac:dyDescent="0.3">
      <c r="A122" s="1">
        <v>14</v>
      </c>
      <c r="B122" s="1" t="s">
        <v>45</v>
      </c>
      <c r="C122" s="1">
        <v>53</v>
      </c>
      <c r="D122" s="1" t="s">
        <v>60</v>
      </c>
      <c r="E122" s="8">
        <v>311</v>
      </c>
      <c r="F122" s="1" t="s">
        <v>81</v>
      </c>
      <c r="G122" s="1">
        <v>2020</v>
      </c>
      <c r="H122" s="1" t="str">
        <f>IF(tblFLOWOD[[#This Row],[nama_asal]]=tblFLOWOD[[#This Row],[nama_tujuan]],"keluar","isi")</f>
        <v>isi</v>
      </c>
      <c r="I122" s="1" t="str">
        <f>METADATA_SOURCES!$A$2</f>
        <v>SRC001</v>
      </c>
    </row>
    <row r="123" spans="1:9" x14ac:dyDescent="0.3">
      <c r="A123" s="1">
        <v>14</v>
      </c>
      <c r="B123" s="1" t="s">
        <v>45</v>
      </c>
      <c r="C123" s="1">
        <v>61</v>
      </c>
      <c r="D123" s="1" t="s">
        <v>61</v>
      </c>
      <c r="E123" s="8">
        <v>987</v>
      </c>
      <c r="F123" s="1" t="s">
        <v>81</v>
      </c>
      <c r="G123" s="1">
        <v>2020</v>
      </c>
      <c r="H123" s="1" t="str">
        <f>IF(tblFLOWOD[[#This Row],[nama_asal]]=tblFLOWOD[[#This Row],[nama_tujuan]],"keluar","isi")</f>
        <v>isi</v>
      </c>
      <c r="I123" s="1" t="str">
        <f>METADATA_SOURCES!$A$2</f>
        <v>SRC001</v>
      </c>
    </row>
    <row r="124" spans="1:9" x14ac:dyDescent="0.3">
      <c r="A124" s="1">
        <v>14</v>
      </c>
      <c r="B124" s="1" t="s">
        <v>45</v>
      </c>
      <c r="C124" s="1">
        <v>62</v>
      </c>
      <c r="D124" s="1" t="s">
        <v>62</v>
      </c>
      <c r="E124" s="8">
        <v>345</v>
      </c>
      <c r="F124" s="1" t="s">
        <v>81</v>
      </c>
      <c r="G124" s="1">
        <v>2020</v>
      </c>
      <c r="H124" s="1" t="str">
        <f>IF(tblFLOWOD[[#This Row],[nama_asal]]=tblFLOWOD[[#This Row],[nama_tujuan]],"keluar","isi")</f>
        <v>isi</v>
      </c>
      <c r="I124" s="1" t="str">
        <f>METADATA_SOURCES!$A$2</f>
        <v>SRC001</v>
      </c>
    </row>
    <row r="125" spans="1:9" x14ac:dyDescent="0.3">
      <c r="A125" s="1">
        <v>14</v>
      </c>
      <c r="B125" s="1" t="s">
        <v>45</v>
      </c>
      <c r="C125" s="1">
        <v>63</v>
      </c>
      <c r="D125" s="1" t="s">
        <v>63</v>
      </c>
      <c r="E125" s="8">
        <v>345</v>
      </c>
      <c r="F125" s="1" t="s">
        <v>81</v>
      </c>
      <c r="G125" s="1">
        <v>2020</v>
      </c>
      <c r="H125" s="1" t="str">
        <f>IF(tblFLOWOD[[#This Row],[nama_asal]]=tblFLOWOD[[#This Row],[nama_tujuan]],"keluar","isi")</f>
        <v>isi</v>
      </c>
      <c r="I125" s="1" t="str">
        <f>METADATA_SOURCES!$A$2</f>
        <v>SRC001</v>
      </c>
    </row>
    <row r="126" spans="1:9" x14ac:dyDescent="0.3">
      <c r="A126" s="1">
        <v>14</v>
      </c>
      <c r="B126" s="1" t="s">
        <v>45</v>
      </c>
      <c r="C126" s="1">
        <v>64</v>
      </c>
      <c r="D126" s="1" t="s">
        <v>64</v>
      </c>
      <c r="E126" s="8">
        <v>436</v>
      </c>
      <c r="F126" s="1" t="s">
        <v>81</v>
      </c>
      <c r="G126" s="1">
        <v>2020</v>
      </c>
      <c r="H126" s="1" t="str">
        <f>IF(tblFLOWOD[[#This Row],[nama_asal]]=tblFLOWOD[[#This Row],[nama_tujuan]],"keluar","isi")</f>
        <v>isi</v>
      </c>
      <c r="I126" s="1" t="str">
        <f>METADATA_SOURCES!$A$2</f>
        <v>SRC001</v>
      </c>
    </row>
    <row r="127" spans="1:9" x14ac:dyDescent="0.3">
      <c r="A127" s="1">
        <v>14</v>
      </c>
      <c r="B127" s="1" t="s">
        <v>45</v>
      </c>
      <c r="C127" s="1">
        <v>65</v>
      </c>
      <c r="D127" s="1" t="s">
        <v>65</v>
      </c>
      <c r="E127" s="8">
        <v>45</v>
      </c>
      <c r="F127" s="1" t="s">
        <v>81</v>
      </c>
      <c r="G127" s="1">
        <v>2020</v>
      </c>
      <c r="H127" s="1" t="str">
        <f>IF(tblFLOWOD[[#This Row],[nama_asal]]=tblFLOWOD[[#This Row],[nama_tujuan]],"keluar","isi")</f>
        <v>isi</v>
      </c>
      <c r="I127" s="1" t="str">
        <f>METADATA_SOURCES!$A$2</f>
        <v>SRC001</v>
      </c>
    </row>
    <row r="128" spans="1:9" x14ac:dyDescent="0.3">
      <c r="A128" s="1">
        <v>14</v>
      </c>
      <c r="B128" s="1" t="s">
        <v>45</v>
      </c>
      <c r="C128" s="1">
        <v>71</v>
      </c>
      <c r="D128" s="1" t="s">
        <v>66</v>
      </c>
      <c r="E128" s="8">
        <v>55</v>
      </c>
      <c r="F128" s="1" t="s">
        <v>81</v>
      </c>
      <c r="G128" s="1">
        <v>2020</v>
      </c>
      <c r="H128" s="1" t="str">
        <f>IF(tblFLOWOD[[#This Row],[nama_asal]]=tblFLOWOD[[#This Row],[nama_tujuan]],"keluar","isi")</f>
        <v>isi</v>
      </c>
      <c r="I128" s="1" t="str">
        <f>METADATA_SOURCES!$A$2</f>
        <v>SRC001</v>
      </c>
    </row>
    <row r="129" spans="1:9" x14ac:dyDescent="0.3">
      <c r="A129" s="1">
        <v>14</v>
      </c>
      <c r="B129" s="1" t="s">
        <v>45</v>
      </c>
      <c r="C129" s="1">
        <v>72</v>
      </c>
      <c r="D129" s="1" t="s">
        <v>67</v>
      </c>
      <c r="E129" s="8">
        <v>105</v>
      </c>
      <c r="F129" s="1" t="s">
        <v>81</v>
      </c>
      <c r="G129" s="1">
        <v>2020</v>
      </c>
      <c r="H129" s="1" t="str">
        <f>IF(tblFLOWOD[[#This Row],[nama_asal]]=tblFLOWOD[[#This Row],[nama_tujuan]],"keluar","isi")</f>
        <v>isi</v>
      </c>
      <c r="I129" s="1" t="str">
        <f>METADATA_SOURCES!$A$2</f>
        <v>SRC001</v>
      </c>
    </row>
    <row r="130" spans="1:9" x14ac:dyDescent="0.3">
      <c r="A130" s="1">
        <v>14</v>
      </c>
      <c r="B130" s="1" t="s">
        <v>45</v>
      </c>
      <c r="C130" s="1">
        <v>73</v>
      </c>
      <c r="D130" s="1" t="s">
        <v>68</v>
      </c>
      <c r="E130" s="8">
        <v>434</v>
      </c>
      <c r="F130" s="1" t="s">
        <v>81</v>
      </c>
      <c r="G130" s="1">
        <v>2020</v>
      </c>
      <c r="H130" s="1" t="str">
        <f>IF(tblFLOWOD[[#This Row],[nama_asal]]=tblFLOWOD[[#This Row],[nama_tujuan]],"keluar","isi")</f>
        <v>isi</v>
      </c>
      <c r="I130" s="1" t="str">
        <f>METADATA_SOURCES!$A$2</f>
        <v>SRC001</v>
      </c>
    </row>
    <row r="131" spans="1:9" x14ac:dyDescent="0.3">
      <c r="A131" s="1">
        <v>14</v>
      </c>
      <c r="B131" s="1" t="s">
        <v>45</v>
      </c>
      <c r="C131" s="1">
        <v>74</v>
      </c>
      <c r="D131" s="1" t="s">
        <v>69</v>
      </c>
      <c r="E131" s="8">
        <v>591</v>
      </c>
      <c r="F131" s="1" t="s">
        <v>81</v>
      </c>
      <c r="G131" s="1">
        <v>2020</v>
      </c>
      <c r="H131" s="1" t="str">
        <f>IF(tblFLOWOD[[#This Row],[nama_asal]]=tblFLOWOD[[#This Row],[nama_tujuan]],"keluar","isi")</f>
        <v>isi</v>
      </c>
      <c r="I131" s="1" t="str">
        <f>METADATA_SOURCES!$A$2</f>
        <v>SRC001</v>
      </c>
    </row>
    <row r="132" spans="1:9" x14ac:dyDescent="0.3">
      <c r="A132" s="1">
        <v>14</v>
      </c>
      <c r="B132" s="1" t="s">
        <v>45</v>
      </c>
      <c r="C132" s="1">
        <v>75</v>
      </c>
      <c r="D132" s="1" t="s">
        <v>70</v>
      </c>
      <c r="E132" s="8">
        <v>76</v>
      </c>
      <c r="F132" s="1" t="s">
        <v>81</v>
      </c>
      <c r="G132" s="1">
        <v>2020</v>
      </c>
      <c r="H132" s="1" t="str">
        <f>IF(tblFLOWOD[[#This Row],[nama_asal]]=tblFLOWOD[[#This Row],[nama_tujuan]],"keluar","isi")</f>
        <v>isi</v>
      </c>
      <c r="I132" s="1" t="str">
        <f>METADATA_SOURCES!$A$2</f>
        <v>SRC001</v>
      </c>
    </row>
    <row r="133" spans="1:9" x14ac:dyDescent="0.3">
      <c r="A133" s="1">
        <v>14</v>
      </c>
      <c r="B133" s="1" t="s">
        <v>45</v>
      </c>
      <c r="C133" s="1">
        <v>76</v>
      </c>
      <c r="D133" s="1" t="s">
        <v>71</v>
      </c>
      <c r="E133" s="8">
        <v>16</v>
      </c>
      <c r="F133" s="1" t="s">
        <v>81</v>
      </c>
      <c r="G133" s="1">
        <v>2020</v>
      </c>
      <c r="H133" s="1" t="str">
        <f>IF(tblFLOWOD[[#This Row],[nama_asal]]=tblFLOWOD[[#This Row],[nama_tujuan]],"keluar","isi")</f>
        <v>isi</v>
      </c>
      <c r="I133" s="1" t="str">
        <f>METADATA_SOURCES!$A$2</f>
        <v>SRC001</v>
      </c>
    </row>
    <row r="134" spans="1:9" x14ac:dyDescent="0.3">
      <c r="A134" s="1">
        <v>14</v>
      </c>
      <c r="B134" s="1" t="s">
        <v>45</v>
      </c>
      <c r="C134" s="1">
        <v>81</v>
      </c>
      <c r="D134" s="1" t="s">
        <v>72</v>
      </c>
      <c r="E134" s="8">
        <v>249</v>
      </c>
      <c r="F134" s="1" t="s">
        <v>81</v>
      </c>
      <c r="G134" s="1">
        <v>2020</v>
      </c>
      <c r="H134" s="1" t="str">
        <f>IF(tblFLOWOD[[#This Row],[nama_asal]]=tblFLOWOD[[#This Row],[nama_tujuan]],"keluar","isi")</f>
        <v>isi</v>
      </c>
      <c r="I134" s="1" t="str">
        <f>METADATA_SOURCES!$A$2</f>
        <v>SRC001</v>
      </c>
    </row>
    <row r="135" spans="1:9" x14ac:dyDescent="0.3">
      <c r="A135" s="1">
        <v>14</v>
      </c>
      <c r="B135" s="1" t="s">
        <v>45</v>
      </c>
      <c r="C135" s="1">
        <v>82</v>
      </c>
      <c r="D135" s="1" t="s">
        <v>73</v>
      </c>
      <c r="E135" s="8">
        <v>9</v>
      </c>
      <c r="F135" s="1" t="s">
        <v>81</v>
      </c>
      <c r="G135" s="1">
        <v>2020</v>
      </c>
      <c r="H135" s="1" t="str">
        <f>IF(tblFLOWOD[[#This Row],[nama_asal]]=tblFLOWOD[[#This Row],[nama_tujuan]],"keluar","isi")</f>
        <v>isi</v>
      </c>
      <c r="I135" s="1" t="str">
        <f>METADATA_SOURCES!$A$2</f>
        <v>SRC001</v>
      </c>
    </row>
    <row r="136" spans="1:9" x14ac:dyDescent="0.3">
      <c r="A136" s="1">
        <v>14</v>
      </c>
      <c r="B136" s="1" t="s">
        <v>45</v>
      </c>
      <c r="C136" s="1">
        <v>91</v>
      </c>
      <c r="D136" s="1" t="s">
        <v>74</v>
      </c>
      <c r="E136" s="8">
        <v>67</v>
      </c>
      <c r="F136" s="1" t="s">
        <v>81</v>
      </c>
      <c r="G136" s="1">
        <v>2020</v>
      </c>
      <c r="H136" s="1" t="str">
        <f>IF(tblFLOWOD[[#This Row],[nama_asal]]=tblFLOWOD[[#This Row],[nama_tujuan]],"keluar","isi")</f>
        <v>isi</v>
      </c>
      <c r="I136" s="1" t="str">
        <f>METADATA_SOURCES!$A$2</f>
        <v>SRC001</v>
      </c>
    </row>
    <row r="137" spans="1:9" x14ac:dyDescent="0.3">
      <c r="A137" s="1">
        <v>14</v>
      </c>
      <c r="B137" s="1" t="s">
        <v>45</v>
      </c>
      <c r="C137" s="1">
        <v>94</v>
      </c>
      <c r="D137" s="1" t="s">
        <v>75</v>
      </c>
      <c r="E137" s="8">
        <v>141</v>
      </c>
      <c r="F137" s="1" t="s">
        <v>81</v>
      </c>
      <c r="G137" s="1">
        <v>2020</v>
      </c>
      <c r="H137" s="1" t="str">
        <f>IF(tblFLOWOD[[#This Row],[nama_asal]]=tblFLOWOD[[#This Row],[nama_tujuan]],"keluar","isi")</f>
        <v>isi</v>
      </c>
      <c r="I137" s="1" t="str">
        <f>METADATA_SOURCES!$A$2</f>
        <v>SRC001</v>
      </c>
    </row>
    <row r="138" spans="1:9" x14ac:dyDescent="0.3">
      <c r="A138" s="1">
        <v>15</v>
      </c>
      <c r="B138" s="1" t="s">
        <v>46</v>
      </c>
      <c r="C138" s="1">
        <v>11</v>
      </c>
      <c r="D138" s="1" t="s">
        <v>42</v>
      </c>
      <c r="E138" s="8">
        <v>474</v>
      </c>
      <c r="F138" s="1" t="s">
        <v>81</v>
      </c>
      <c r="G138" s="1">
        <v>2020</v>
      </c>
      <c r="H138" s="1" t="str">
        <f>IF(tblFLOWOD[[#This Row],[nama_asal]]=tblFLOWOD[[#This Row],[nama_tujuan]],"keluar","isi")</f>
        <v>isi</v>
      </c>
      <c r="I138" s="1" t="str">
        <f>METADATA_SOURCES!$A$2</f>
        <v>SRC001</v>
      </c>
    </row>
    <row r="139" spans="1:9" x14ac:dyDescent="0.3">
      <c r="A139" s="1">
        <v>15</v>
      </c>
      <c r="B139" s="1" t="s">
        <v>46</v>
      </c>
      <c r="C139" s="1">
        <v>12</v>
      </c>
      <c r="D139" s="1" t="s">
        <v>43</v>
      </c>
      <c r="E139" s="8">
        <v>6297</v>
      </c>
      <c r="F139" s="1" t="s">
        <v>81</v>
      </c>
      <c r="G139" s="1">
        <v>2020</v>
      </c>
      <c r="H139" s="1" t="str">
        <f>IF(tblFLOWOD[[#This Row],[nama_asal]]=tblFLOWOD[[#This Row],[nama_tujuan]],"keluar","isi")</f>
        <v>isi</v>
      </c>
      <c r="I139" s="1" t="str">
        <f>METADATA_SOURCES!$A$2</f>
        <v>SRC001</v>
      </c>
    </row>
    <row r="140" spans="1:9" x14ac:dyDescent="0.3">
      <c r="A140" s="1">
        <v>15</v>
      </c>
      <c r="B140" s="1" t="s">
        <v>46</v>
      </c>
      <c r="C140" s="1">
        <v>13</v>
      </c>
      <c r="D140" s="1" t="s">
        <v>44</v>
      </c>
      <c r="E140" s="8">
        <v>14579</v>
      </c>
      <c r="F140" s="1" t="s">
        <v>81</v>
      </c>
      <c r="G140" s="1">
        <v>2020</v>
      </c>
      <c r="H140" s="1" t="str">
        <f>IF(tblFLOWOD[[#This Row],[nama_asal]]=tblFLOWOD[[#This Row],[nama_tujuan]],"keluar","isi")</f>
        <v>isi</v>
      </c>
      <c r="I140" s="1" t="str">
        <f>METADATA_SOURCES!$A$2</f>
        <v>SRC001</v>
      </c>
    </row>
    <row r="141" spans="1:9" x14ac:dyDescent="0.3">
      <c r="A141" s="1">
        <v>15</v>
      </c>
      <c r="B141" s="1" t="s">
        <v>46</v>
      </c>
      <c r="C141" s="1">
        <v>14</v>
      </c>
      <c r="D141" s="1" t="s">
        <v>45</v>
      </c>
      <c r="E141" s="8">
        <v>4359</v>
      </c>
      <c r="F141" s="1" t="s">
        <v>81</v>
      </c>
      <c r="G141" s="1">
        <v>2020</v>
      </c>
      <c r="H141" s="1" t="str">
        <f>IF(tblFLOWOD[[#This Row],[nama_asal]]=tblFLOWOD[[#This Row],[nama_tujuan]],"keluar","isi")</f>
        <v>isi</v>
      </c>
      <c r="I141" s="1" t="str">
        <f>METADATA_SOURCES!$A$2</f>
        <v>SRC001</v>
      </c>
    </row>
    <row r="142" spans="1:9" x14ac:dyDescent="0.3">
      <c r="A142" s="1">
        <v>15</v>
      </c>
      <c r="B142" s="1" t="s">
        <v>46</v>
      </c>
      <c r="C142" s="1">
        <v>15</v>
      </c>
      <c r="D142" s="1" t="s">
        <v>46</v>
      </c>
      <c r="E142" s="8">
        <v>3265469</v>
      </c>
      <c r="F142" s="1" t="s">
        <v>81</v>
      </c>
      <c r="G142" s="1">
        <v>2020</v>
      </c>
      <c r="H142" s="1" t="str">
        <f>IF(tblFLOWOD[[#This Row],[nama_asal]]=tblFLOWOD[[#This Row],[nama_tujuan]],"keluar","isi")</f>
        <v>keluar</v>
      </c>
      <c r="I142" s="1" t="str">
        <f>METADATA_SOURCES!$A$2</f>
        <v>SRC001</v>
      </c>
    </row>
    <row r="143" spans="1:9" x14ac:dyDescent="0.3">
      <c r="A143" s="1">
        <v>15</v>
      </c>
      <c r="B143" s="1" t="s">
        <v>46</v>
      </c>
      <c r="C143" s="1">
        <v>16</v>
      </c>
      <c r="D143" s="1" t="s">
        <v>47</v>
      </c>
      <c r="E143" s="8">
        <v>5056</v>
      </c>
      <c r="F143" s="1" t="s">
        <v>81</v>
      </c>
      <c r="G143" s="1">
        <v>2020</v>
      </c>
      <c r="H143" s="1" t="str">
        <f>IF(tblFLOWOD[[#This Row],[nama_asal]]=tblFLOWOD[[#This Row],[nama_tujuan]],"keluar","isi")</f>
        <v>isi</v>
      </c>
      <c r="I143" s="1" t="str">
        <f>METADATA_SOURCES!$A$2</f>
        <v>SRC001</v>
      </c>
    </row>
    <row r="144" spans="1:9" x14ac:dyDescent="0.3">
      <c r="A144" s="1">
        <v>15</v>
      </c>
      <c r="B144" s="1" t="s">
        <v>46</v>
      </c>
      <c r="C144" s="1">
        <v>17</v>
      </c>
      <c r="D144" s="1" t="s">
        <v>48</v>
      </c>
      <c r="E144" s="8">
        <v>2479</v>
      </c>
      <c r="F144" s="1" t="s">
        <v>81</v>
      </c>
      <c r="G144" s="1">
        <v>2020</v>
      </c>
      <c r="H144" s="1" t="str">
        <f>IF(tblFLOWOD[[#This Row],[nama_asal]]=tblFLOWOD[[#This Row],[nama_tujuan]],"keluar","isi")</f>
        <v>isi</v>
      </c>
      <c r="I144" s="1" t="str">
        <f>METADATA_SOURCES!$A$2</f>
        <v>SRC001</v>
      </c>
    </row>
    <row r="145" spans="1:9" x14ac:dyDescent="0.3">
      <c r="A145" s="1">
        <v>15</v>
      </c>
      <c r="B145" s="1" t="s">
        <v>46</v>
      </c>
      <c r="C145" s="1">
        <v>18</v>
      </c>
      <c r="D145" s="1" t="s">
        <v>49</v>
      </c>
      <c r="E145" s="8">
        <v>2169</v>
      </c>
      <c r="F145" s="1" t="s">
        <v>81</v>
      </c>
      <c r="G145" s="1">
        <v>2020</v>
      </c>
      <c r="H145" s="1" t="str">
        <f>IF(tblFLOWOD[[#This Row],[nama_asal]]=tblFLOWOD[[#This Row],[nama_tujuan]],"keluar","isi")</f>
        <v>isi</v>
      </c>
      <c r="I145" s="1" t="str">
        <f>METADATA_SOURCES!$A$2</f>
        <v>SRC001</v>
      </c>
    </row>
    <row r="146" spans="1:9" x14ac:dyDescent="0.3">
      <c r="A146" s="1">
        <v>15</v>
      </c>
      <c r="B146" s="1" t="s">
        <v>46</v>
      </c>
      <c r="C146" s="1">
        <v>19</v>
      </c>
      <c r="D146" s="1" t="s">
        <v>50</v>
      </c>
      <c r="E146" s="8">
        <v>640</v>
      </c>
      <c r="F146" s="1" t="s">
        <v>81</v>
      </c>
      <c r="G146" s="1">
        <v>2020</v>
      </c>
      <c r="H146" s="1" t="str">
        <f>IF(tblFLOWOD[[#This Row],[nama_asal]]=tblFLOWOD[[#This Row],[nama_tujuan]],"keluar","isi")</f>
        <v>isi</v>
      </c>
      <c r="I146" s="1" t="str">
        <f>METADATA_SOURCES!$A$2</f>
        <v>SRC001</v>
      </c>
    </row>
    <row r="147" spans="1:9" x14ac:dyDescent="0.3">
      <c r="A147" s="1">
        <v>15</v>
      </c>
      <c r="B147" s="1" t="s">
        <v>46</v>
      </c>
      <c r="C147" s="1">
        <v>21</v>
      </c>
      <c r="D147" s="1" t="s">
        <v>51</v>
      </c>
      <c r="E147" s="8">
        <v>2103</v>
      </c>
      <c r="F147" s="1" t="s">
        <v>81</v>
      </c>
      <c r="G147" s="1">
        <v>2020</v>
      </c>
      <c r="H147" s="1" t="str">
        <f>IF(tblFLOWOD[[#This Row],[nama_asal]]=tblFLOWOD[[#This Row],[nama_tujuan]],"keluar","isi")</f>
        <v>isi</v>
      </c>
      <c r="I147" s="1" t="str">
        <f>METADATA_SOURCES!$A$2</f>
        <v>SRC001</v>
      </c>
    </row>
    <row r="148" spans="1:9" x14ac:dyDescent="0.3">
      <c r="A148" s="1">
        <v>15</v>
      </c>
      <c r="B148" s="1" t="s">
        <v>46</v>
      </c>
      <c r="C148" s="1">
        <v>31</v>
      </c>
      <c r="D148" s="1" t="s">
        <v>52</v>
      </c>
      <c r="E148" s="8">
        <v>892</v>
      </c>
      <c r="F148" s="1" t="s">
        <v>81</v>
      </c>
      <c r="G148" s="1">
        <v>2020</v>
      </c>
      <c r="H148" s="1" t="str">
        <f>IF(tblFLOWOD[[#This Row],[nama_asal]]=tblFLOWOD[[#This Row],[nama_tujuan]],"keluar","isi")</f>
        <v>isi</v>
      </c>
      <c r="I148" s="1" t="str">
        <f>METADATA_SOURCES!$A$2</f>
        <v>SRC001</v>
      </c>
    </row>
    <row r="149" spans="1:9" x14ac:dyDescent="0.3">
      <c r="A149" s="1">
        <v>15</v>
      </c>
      <c r="B149" s="1" t="s">
        <v>46</v>
      </c>
      <c r="C149" s="1">
        <v>32</v>
      </c>
      <c r="D149" s="1" t="s">
        <v>53</v>
      </c>
      <c r="E149" s="8">
        <v>3227</v>
      </c>
      <c r="F149" s="1" t="s">
        <v>81</v>
      </c>
      <c r="G149" s="1">
        <v>2020</v>
      </c>
      <c r="H149" s="1" t="str">
        <f>IF(tblFLOWOD[[#This Row],[nama_asal]]=tblFLOWOD[[#This Row],[nama_tujuan]],"keluar","isi")</f>
        <v>isi</v>
      </c>
      <c r="I149" s="1" t="str">
        <f>METADATA_SOURCES!$A$2</f>
        <v>SRC001</v>
      </c>
    </row>
    <row r="150" spans="1:9" x14ac:dyDescent="0.3">
      <c r="A150" s="1">
        <v>15</v>
      </c>
      <c r="B150" s="1" t="s">
        <v>46</v>
      </c>
      <c r="C150" s="1">
        <v>33</v>
      </c>
      <c r="D150" s="1" t="s">
        <v>54</v>
      </c>
      <c r="E150" s="8">
        <v>11217</v>
      </c>
      <c r="F150" s="1" t="s">
        <v>81</v>
      </c>
      <c r="G150" s="1">
        <v>2020</v>
      </c>
      <c r="H150" s="1" t="str">
        <f>IF(tblFLOWOD[[#This Row],[nama_asal]]=tblFLOWOD[[#This Row],[nama_tujuan]],"keluar","isi")</f>
        <v>isi</v>
      </c>
      <c r="I150" s="1" t="str">
        <f>METADATA_SOURCES!$A$2</f>
        <v>SRC001</v>
      </c>
    </row>
    <row r="151" spans="1:9" x14ac:dyDescent="0.3">
      <c r="A151" s="1">
        <v>15</v>
      </c>
      <c r="B151" s="1" t="s">
        <v>46</v>
      </c>
      <c r="C151" s="1">
        <v>34</v>
      </c>
      <c r="D151" s="1" t="s">
        <v>55</v>
      </c>
      <c r="E151" s="8">
        <v>1931</v>
      </c>
      <c r="F151" s="1" t="s">
        <v>81</v>
      </c>
      <c r="G151" s="1">
        <v>2020</v>
      </c>
      <c r="H151" s="1" t="str">
        <f>IF(tblFLOWOD[[#This Row],[nama_asal]]=tblFLOWOD[[#This Row],[nama_tujuan]],"keluar","isi")</f>
        <v>isi</v>
      </c>
      <c r="I151" s="1" t="str">
        <f>METADATA_SOURCES!$A$2</f>
        <v>SRC001</v>
      </c>
    </row>
    <row r="152" spans="1:9" x14ac:dyDescent="0.3">
      <c r="A152" s="1">
        <v>15</v>
      </c>
      <c r="B152" s="1" t="s">
        <v>46</v>
      </c>
      <c r="C152" s="1">
        <v>35</v>
      </c>
      <c r="D152" s="1" t="s">
        <v>56</v>
      </c>
      <c r="E152" s="8">
        <v>1577</v>
      </c>
      <c r="F152" s="1" t="s">
        <v>81</v>
      </c>
      <c r="G152" s="1">
        <v>2020</v>
      </c>
      <c r="H152" s="1" t="str">
        <f>IF(tblFLOWOD[[#This Row],[nama_asal]]=tblFLOWOD[[#This Row],[nama_tujuan]],"keluar","isi")</f>
        <v>isi</v>
      </c>
      <c r="I152" s="1" t="str">
        <f>METADATA_SOURCES!$A$2</f>
        <v>SRC001</v>
      </c>
    </row>
    <row r="153" spans="1:9" x14ac:dyDescent="0.3">
      <c r="A153" s="1">
        <v>15</v>
      </c>
      <c r="B153" s="1" t="s">
        <v>46</v>
      </c>
      <c r="C153" s="1">
        <v>36</v>
      </c>
      <c r="D153" s="1" t="s">
        <v>57</v>
      </c>
      <c r="E153" s="8">
        <v>1047</v>
      </c>
      <c r="F153" s="1" t="s">
        <v>81</v>
      </c>
      <c r="G153" s="1">
        <v>2020</v>
      </c>
      <c r="H153" s="1" t="str">
        <f>IF(tblFLOWOD[[#This Row],[nama_asal]]=tblFLOWOD[[#This Row],[nama_tujuan]],"keluar","isi")</f>
        <v>isi</v>
      </c>
      <c r="I153" s="1" t="str">
        <f>METADATA_SOURCES!$A$2</f>
        <v>SRC001</v>
      </c>
    </row>
    <row r="154" spans="1:9" x14ac:dyDescent="0.3">
      <c r="A154" s="1">
        <v>15</v>
      </c>
      <c r="B154" s="1" t="s">
        <v>46</v>
      </c>
      <c r="C154" s="1">
        <v>51</v>
      </c>
      <c r="D154" s="1" t="s">
        <v>58</v>
      </c>
      <c r="E154" s="8">
        <v>35</v>
      </c>
      <c r="F154" s="1" t="s">
        <v>81</v>
      </c>
      <c r="G154" s="1">
        <v>2020</v>
      </c>
      <c r="H154" s="1" t="str">
        <f>IF(tblFLOWOD[[#This Row],[nama_asal]]=tblFLOWOD[[#This Row],[nama_tujuan]],"keluar","isi")</f>
        <v>isi</v>
      </c>
      <c r="I154" s="1" t="str">
        <f>METADATA_SOURCES!$A$2</f>
        <v>SRC001</v>
      </c>
    </row>
    <row r="155" spans="1:9" x14ac:dyDescent="0.3">
      <c r="A155" s="1">
        <v>15</v>
      </c>
      <c r="B155" s="1" t="s">
        <v>46</v>
      </c>
      <c r="C155" s="1">
        <v>52</v>
      </c>
      <c r="D155" s="1" t="s">
        <v>59</v>
      </c>
      <c r="E155" s="8">
        <v>124</v>
      </c>
      <c r="F155" s="1" t="s">
        <v>81</v>
      </c>
      <c r="G155" s="1">
        <v>2020</v>
      </c>
      <c r="H155" s="1" t="str">
        <f>IF(tblFLOWOD[[#This Row],[nama_asal]]=tblFLOWOD[[#This Row],[nama_tujuan]],"keluar","isi")</f>
        <v>isi</v>
      </c>
      <c r="I155" s="1" t="str">
        <f>METADATA_SOURCES!$A$2</f>
        <v>SRC001</v>
      </c>
    </row>
    <row r="156" spans="1:9" x14ac:dyDescent="0.3">
      <c r="A156" s="1">
        <v>15</v>
      </c>
      <c r="B156" s="1" t="s">
        <v>46</v>
      </c>
      <c r="C156" s="1">
        <v>53</v>
      </c>
      <c r="D156" s="1" t="s">
        <v>60</v>
      </c>
      <c r="E156" s="8">
        <v>83</v>
      </c>
      <c r="F156" s="1" t="s">
        <v>81</v>
      </c>
      <c r="G156" s="1">
        <v>2020</v>
      </c>
      <c r="H156" s="1" t="str">
        <f>IF(tblFLOWOD[[#This Row],[nama_asal]]=tblFLOWOD[[#This Row],[nama_tujuan]],"keluar","isi")</f>
        <v>isi</v>
      </c>
      <c r="I156" s="1" t="str">
        <f>METADATA_SOURCES!$A$2</f>
        <v>SRC001</v>
      </c>
    </row>
    <row r="157" spans="1:9" x14ac:dyDescent="0.3">
      <c r="A157" s="1">
        <v>15</v>
      </c>
      <c r="B157" s="1" t="s">
        <v>46</v>
      </c>
      <c r="C157" s="1">
        <v>61</v>
      </c>
      <c r="D157" s="1" t="s">
        <v>61</v>
      </c>
      <c r="E157" s="8">
        <v>281</v>
      </c>
      <c r="F157" s="1" t="s">
        <v>81</v>
      </c>
      <c r="G157" s="1">
        <v>2020</v>
      </c>
      <c r="H157" s="1" t="str">
        <f>IF(tblFLOWOD[[#This Row],[nama_asal]]=tblFLOWOD[[#This Row],[nama_tujuan]],"keluar","isi")</f>
        <v>isi</v>
      </c>
      <c r="I157" s="1" t="str">
        <f>METADATA_SOURCES!$A$2</f>
        <v>SRC001</v>
      </c>
    </row>
    <row r="158" spans="1:9" x14ac:dyDescent="0.3">
      <c r="A158" s="1">
        <v>15</v>
      </c>
      <c r="B158" s="1" t="s">
        <v>46</v>
      </c>
      <c r="C158" s="1">
        <v>62</v>
      </c>
      <c r="D158" s="1" t="s">
        <v>62</v>
      </c>
      <c r="E158" s="8">
        <v>438</v>
      </c>
      <c r="F158" s="1" t="s">
        <v>81</v>
      </c>
      <c r="G158" s="1">
        <v>2020</v>
      </c>
      <c r="H158" s="1" t="str">
        <f>IF(tblFLOWOD[[#This Row],[nama_asal]]=tblFLOWOD[[#This Row],[nama_tujuan]],"keluar","isi")</f>
        <v>isi</v>
      </c>
      <c r="I158" s="1" t="str">
        <f>METADATA_SOURCES!$A$2</f>
        <v>SRC001</v>
      </c>
    </row>
    <row r="159" spans="1:9" x14ac:dyDescent="0.3">
      <c r="A159" s="1">
        <v>15</v>
      </c>
      <c r="B159" s="1" t="s">
        <v>46</v>
      </c>
      <c r="C159" s="1">
        <v>63</v>
      </c>
      <c r="D159" s="1" t="s">
        <v>63</v>
      </c>
      <c r="E159" s="8">
        <v>279</v>
      </c>
      <c r="F159" s="1" t="s">
        <v>81</v>
      </c>
      <c r="G159" s="1">
        <v>2020</v>
      </c>
      <c r="H159" s="1" t="str">
        <f>IF(tblFLOWOD[[#This Row],[nama_asal]]=tblFLOWOD[[#This Row],[nama_tujuan]],"keluar","isi")</f>
        <v>isi</v>
      </c>
      <c r="I159" s="1" t="str">
        <f>METADATA_SOURCES!$A$2</f>
        <v>SRC001</v>
      </c>
    </row>
    <row r="160" spans="1:9" x14ac:dyDescent="0.3">
      <c r="A160" s="1">
        <v>15</v>
      </c>
      <c r="B160" s="1" t="s">
        <v>46</v>
      </c>
      <c r="C160" s="1">
        <v>64</v>
      </c>
      <c r="D160" s="1" t="s">
        <v>64</v>
      </c>
      <c r="E160" s="8">
        <v>521</v>
      </c>
      <c r="F160" s="1" t="s">
        <v>81</v>
      </c>
      <c r="G160" s="1">
        <v>2020</v>
      </c>
      <c r="H160" s="1" t="str">
        <f>IF(tblFLOWOD[[#This Row],[nama_asal]]=tblFLOWOD[[#This Row],[nama_tujuan]],"keluar","isi")</f>
        <v>isi</v>
      </c>
      <c r="I160" s="1" t="str">
        <f>METADATA_SOURCES!$A$2</f>
        <v>SRC001</v>
      </c>
    </row>
    <row r="161" spans="1:9" x14ac:dyDescent="0.3">
      <c r="A161" s="1">
        <v>15</v>
      </c>
      <c r="B161" s="1" t="s">
        <v>46</v>
      </c>
      <c r="C161" s="1">
        <v>65</v>
      </c>
      <c r="D161" s="1" t="s">
        <v>65</v>
      </c>
      <c r="E161" s="8">
        <v>10</v>
      </c>
      <c r="F161" s="1" t="s">
        <v>81</v>
      </c>
      <c r="G161" s="1">
        <v>2020</v>
      </c>
      <c r="H161" s="1" t="str">
        <f>IF(tblFLOWOD[[#This Row],[nama_asal]]=tblFLOWOD[[#This Row],[nama_tujuan]],"keluar","isi")</f>
        <v>isi</v>
      </c>
      <c r="I161" s="1" t="str">
        <f>METADATA_SOURCES!$A$2</f>
        <v>SRC001</v>
      </c>
    </row>
    <row r="162" spans="1:9" x14ac:dyDescent="0.3">
      <c r="A162" s="1">
        <v>15</v>
      </c>
      <c r="B162" s="1" t="s">
        <v>46</v>
      </c>
      <c r="C162" s="1">
        <v>71</v>
      </c>
      <c r="D162" s="1" t="s">
        <v>66</v>
      </c>
      <c r="E162" s="8">
        <v>17</v>
      </c>
      <c r="F162" s="1" t="s">
        <v>81</v>
      </c>
      <c r="G162" s="1">
        <v>2020</v>
      </c>
      <c r="H162" s="1" t="str">
        <f>IF(tblFLOWOD[[#This Row],[nama_asal]]=tblFLOWOD[[#This Row],[nama_tujuan]],"keluar","isi")</f>
        <v>isi</v>
      </c>
      <c r="I162" s="1" t="str">
        <f>METADATA_SOURCES!$A$2</f>
        <v>SRC001</v>
      </c>
    </row>
    <row r="163" spans="1:9" x14ac:dyDescent="0.3">
      <c r="A163" s="1">
        <v>15</v>
      </c>
      <c r="B163" s="1" t="s">
        <v>46</v>
      </c>
      <c r="C163" s="1">
        <v>72</v>
      </c>
      <c r="D163" s="1" t="s">
        <v>67</v>
      </c>
      <c r="E163" s="8">
        <v>128</v>
      </c>
      <c r="F163" s="1" t="s">
        <v>81</v>
      </c>
      <c r="G163" s="1">
        <v>2020</v>
      </c>
      <c r="H163" s="1" t="str">
        <f>IF(tblFLOWOD[[#This Row],[nama_asal]]=tblFLOWOD[[#This Row],[nama_tujuan]],"keluar","isi")</f>
        <v>isi</v>
      </c>
      <c r="I163" s="1" t="str">
        <f>METADATA_SOURCES!$A$2</f>
        <v>SRC001</v>
      </c>
    </row>
    <row r="164" spans="1:9" x14ac:dyDescent="0.3">
      <c r="A164" s="1">
        <v>15</v>
      </c>
      <c r="B164" s="1" t="s">
        <v>46</v>
      </c>
      <c r="C164" s="1">
        <v>73</v>
      </c>
      <c r="D164" s="1" t="s">
        <v>68</v>
      </c>
      <c r="E164" s="8">
        <v>384</v>
      </c>
      <c r="F164" s="1" t="s">
        <v>81</v>
      </c>
      <c r="G164" s="1">
        <v>2020</v>
      </c>
      <c r="H164" s="1" t="str">
        <f>IF(tblFLOWOD[[#This Row],[nama_asal]]=tblFLOWOD[[#This Row],[nama_tujuan]],"keluar","isi")</f>
        <v>isi</v>
      </c>
      <c r="I164" s="1" t="str">
        <f>METADATA_SOURCES!$A$2</f>
        <v>SRC001</v>
      </c>
    </row>
    <row r="165" spans="1:9" x14ac:dyDescent="0.3">
      <c r="A165" s="1">
        <v>15</v>
      </c>
      <c r="B165" s="1" t="s">
        <v>46</v>
      </c>
      <c r="C165" s="1">
        <v>74</v>
      </c>
      <c r="D165" s="1" t="s">
        <v>69</v>
      </c>
      <c r="E165" s="8">
        <v>71</v>
      </c>
      <c r="F165" s="1" t="s">
        <v>81</v>
      </c>
      <c r="G165" s="1">
        <v>2020</v>
      </c>
      <c r="H165" s="1" t="str">
        <f>IF(tblFLOWOD[[#This Row],[nama_asal]]=tblFLOWOD[[#This Row],[nama_tujuan]],"keluar","isi")</f>
        <v>isi</v>
      </c>
      <c r="I165" s="1" t="str">
        <f>METADATA_SOURCES!$A$2</f>
        <v>SRC001</v>
      </c>
    </row>
    <row r="166" spans="1:9" x14ac:dyDescent="0.3">
      <c r="A166" s="1">
        <v>15</v>
      </c>
      <c r="B166" s="1" t="s">
        <v>46</v>
      </c>
      <c r="C166" s="1">
        <v>75</v>
      </c>
      <c r="D166" s="1" t="s">
        <v>70</v>
      </c>
      <c r="E166" s="8">
        <v>114</v>
      </c>
      <c r="F166" s="1" t="s">
        <v>81</v>
      </c>
      <c r="G166" s="1">
        <v>2020</v>
      </c>
      <c r="H166" s="1" t="str">
        <f>IF(tblFLOWOD[[#This Row],[nama_asal]]=tblFLOWOD[[#This Row],[nama_tujuan]],"keluar","isi")</f>
        <v>isi</v>
      </c>
      <c r="I166" s="1" t="str">
        <f>METADATA_SOURCES!$A$2</f>
        <v>SRC001</v>
      </c>
    </row>
    <row r="167" spans="1:9" x14ac:dyDescent="0.3">
      <c r="A167" s="1">
        <v>15</v>
      </c>
      <c r="B167" s="1" t="s">
        <v>46</v>
      </c>
      <c r="C167" s="1">
        <v>76</v>
      </c>
      <c r="D167" s="1" t="s">
        <v>71</v>
      </c>
      <c r="E167" s="8">
        <v>43</v>
      </c>
      <c r="F167" s="1" t="s">
        <v>81</v>
      </c>
      <c r="G167" s="1">
        <v>2020</v>
      </c>
      <c r="H167" s="1" t="str">
        <f>IF(tblFLOWOD[[#This Row],[nama_asal]]=tblFLOWOD[[#This Row],[nama_tujuan]],"keluar","isi")</f>
        <v>isi</v>
      </c>
      <c r="I167" s="1" t="str">
        <f>METADATA_SOURCES!$A$2</f>
        <v>SRC001</v>
      </c>
    </row>
    <row r="168" spans="1:9" x14ac:dyDescent="0.3">
      <c r="A168" s="1">
        <v>15</v>
      </c>
      <c r="B168" s="1" t="s">
        <v>46</v>
      </c>
      <c r="C168" s="1">
        <v>81</v>
      </c>
      <c r="D168" s="1" t="s">
        <v>72</v>
      </c>
      <c r="E168" s="8">
        <v>15</v>
      </c>
      <c r="F168" s="1" t="s">
        <v>81</v>
      </c>
      <c r="G168" s="1">
        <v>2020</v>
      </c>
      <c r="H168" s="1" t="str">
        <f>IF(tblFLOWOD[[#This Row],[nama_asal]]=tblFLOWOD[[#This Row],[nama_tujuan]],"keluar","isi")</f>
        <v>isi</v>
      </c>
      <c r="I168" s="1" t="str">
        <f>METADATA_SOURCES!$A$2</f>
        <v>SRC001</v>
      </c>
    </row>
    <row r="169" spans="1:9" x14ac:dyDescent="0.3">
      <c r="A169" s="1">
        <v>15</v>
      </c>
      <c r="B169" s="1" t="s">
        <v>46</v>
      </c>
      <c r="C169" s="1">
        <v>82</v>
      </c>
      <c r="D169" s="1" t="s">
        <v>73</v>
      </c>
      <c r="E169" s="8">
        <v>15</v>
      </c>
      <c r="F169" s="1" t="s">
        <v>81</v>
      </c>
      <c r="G169" s="1">
        <v>2020</v>
      </c>
      <c r="H169" s="1" t="str">
        <f>IF(tblFLOWOD[[#This Row],[nama_asal]]=tblFLOWOD[[#This Row],[nama_tujuan]],"keluar","isi")</f>
        <v>isi</v>
      </c>
      <c r="I169" s="1" t="str">
        <f>METADATA_SOURCES!$A$2</f>
        <v>SRC001</v>
      </c>
    </row>
    <row r="170" spans="1:9" x14ac:dyDescent="0.3">
      <c r="A170" s="1">
        <v>15</v>
      </c>
      <c r="B170" s="1" t="s">
        <v>46</v>
      </c>
      <c r="C170" s="1">
        <v>91</v>
      </c>
      <c r="D170" s="1" t="s">
        <v>74</v>
      </c>
      <c r="E170" s="8">
        <v>4</v>
      </c>
      <c r="F170" s="1" t="s">
        <v>81</v>
      </c>
      <c r="G170" s="1">
        <v>2020</v>
      </c>
      <c r="H170" s="1" t="str">
        <f>IF(tblFLOWOD[[#This Row],[nama_asal]]=tblFLOWOD[[#This Row],[nama_tujuan]],"keluar","isi")</f>
        <v>isi</v>
      </c>
      <c r="I170" s="1" t="str">
        <f>METADATA_SOURCES!$A$2</f>
        <v>SRC001</v>
      </c>
    </row>
    <row r="171" spans="1:9" x14ac:dyDescent="0.3">
      <c r="A171" s="1">
        <v>15</v>
      </c>
      <c r="B171" s="1" t="s">
        <v>46</v>
      </c>
      <c r="C171" s="1">
        <v>94</v>
      </c>
      <c r="D171" s="1" t="s">
        <v>75</v>
      </c>
      <c r="E171" s="8">
        <v>69</v>
      </c>
      <c r="F171" s="1" t="s">
        <v>81</v>
      </c>
      <c r="G171" s="1">
        <v>2020</v>
      </c>
      <c r="H171" s="1" t="str">
        <f>IF(tblFLOWOD[[#This Row],[nama_asal]]=tblFLOWOD[[#This Row],[nama_tujuan]],"keluar","isi")</f>
        <v>isi</v>
      </c>
      <c r="I171" s="1" t="str">
        <f>METADATA_SOURCES!$A$2</f>
        <v>SRC001</v>
      </c>
    </row>
    <row r="172" spans="1:9" x14ac:dyDescent="0.3">
      <c r="A172" s="1">
        <v>16</v>
      </c>
      <c r="B172" s="1" t="s">
        <v>47</v>
      </c>
      <c r="C172" s="1">
        <v>11</v>
      </c>
      <c r="D172" s="1" t="s">
        <v>42</v>
      </c>
      <c r="E172" s="8">
        <v>379</v>
      </c>
      <c r="F172" s="1" t="s">
        <v>81</v>
      </c>
      <c r="G172" s="1">
        <v>2020</v>
      </c>
      <c r="H172" s="1" t="str">
        <f>IF(tblFLOWOD[[#This Row],[nama_asal]]=tblFLOWOD[[#This Row],[nama_tujuan]],"keluar","isi")</f>
        <v>isi</v>
      </c>
      <c r="I172" s="1" t="str">
        <f>METADATA_SOURCES!$A$2</f>
        <v>SRC001</v>
      </c>
    </row>
    <row r="173" spans="1:9" x14ac:dyDescent="0.3">
      <c r="A173" s="1">
        <v>16</v>
      </c>
      <c r="B173" s="1" t="s">
        <v>47</v>
      </c>
      <c r="C173" s="1">
        <v>12</v>
      </c>
      <c r="D173" s="1" t="s">
        <v>43</v>
      </c>
      <c r="E173" s="8">
        <v>3498</v>
      </c>
      <c r="F173" s="1" t="s">
        <v>81</v>
      </c>
      <c r="G173" s="1">
        <v>2020</v>
      </c>
      <c r="H173" s="1" t="str">
        <f>IF(tblFLOWOD[[#This Row],[nama_asal]]=tblFLOWOD[[#This Row],[nama_tujuan]],"keluar","isi")</f>
        <v>isi</v>
      </c>
      <c r="I173" s="1" t="str">
        <f>METADATA_SOURCES!$A$2</f>
        <v>SRC001</v>
      </c>
    </row>
    <row r="174" spans="1:9" x14ac:dyDescent="0.3">
      <c r="A174" s="1">
        <v>16</v>
      </c>
      <c r="B174" s="1" t="s">
        <v>47</v>
      </c>
      <c r="C174" s="1">
        <v>13</v>
      </c>
      <c r="D174" s="1" t="s">
        <v>44</v>
      </c>
      <c r="E174" s="8">
        <v>4942</v>
      </c>
      <c r="F174" s="1" t="s">
        <v>81</v>
      </c>
      <c r="G174" s="1">
        <v>2020</v>
      </c>
      <c r="H174" s="1" t="str">
        <f>IF(tblFLOWOD[[#This Row],[nama_asal]]=tblFLOWOD[[#This Row],[nama_tujuan]],"keluar","isi")</f>
        <v>isi</v>
      </c>
      <c r="I174" s="1" t="str">
        <f>METADATA_SOURCES!$A$2</f>
        <v>SRC001</v>
      </c>
    </row>
    <row r="175" spans="1:9" x14ac:dyDescent="0.3">
      <c r="A175" s="1">
        <v>16</v>
      </c>
      <c r="B175" s="1" t="s">
        <v>47</v>
      </c>
      <c r="C175" s="1">
        <v>14</v>
      </c>
      <c r="D175" s="1" t="s">
        <v>45</v>
      </c>
      <c r="E175" s="8">
        <v>2715</v>
      </c>
      <c r="F175" s="1" t="s">
        <v>81</v>
      </c>
      <c r="G175" s="1">
        <v>2020</v>
      </c>
      <c r="H175" s="1" t="str">
        <f>IF(tblFLOWOD[[#This Row],[nama_asal]]=tblFLOWOD[[#This Row],[nama_tujuan]],"keluar","isi")</f>
        <v>isi</v>
      </c>
      <c r="I175" s="1" t="str">
        <f>METADATA_SOURCES!$A$2</f>
        <v>SRC001</v>
      </c>
    </row>
    <row r="176" spans="1:9" x14ac:dyDescent="0.3">
      <c r="A176" s="1">
        <v>16</v>
      </c>
      <c r="B176" s="1" t="s">
        <v>47</v>
      </c>
      <c r="C176" s="1">
        <v>15</v>
      </c>
      <c r="D176" s="1" t="s">
        <v>46</v>
      </c>
      <c r="E176" s="8">
        <v>7325</v>
      </c>
      <c r="F176" s="1" t="s">
        <v>81</v>
      </c>
      <c r="G176" s="1">
        <v>2020</v>
      </c>
      <c r="H176" s="1" t="str">
        <f>IF(tblFLOWOD[[#This Row],[nama_asal]]=tblFLOWOD[[#This Row],[nama_tujuan]],"keluar","isi")</f>
        <v>isi</v>
      </c>
      <c r="I176" s="1" t="str">
        <f>METADATA_SOURCES!$A$2</f>
        <v>SRC001</v>
      </c>
    </row>
    <row r="177" spans="1:9" x14ac:dyDescent="0.3">
      <c r="A177" s="1">
        <v>16</v>
      </c>
      <c r="B177" s="1" t="s">
        <v>47</v>
      </c>
      <c r="C177" s="1">
        <v>16</v>
      </c>
      <c r="D177" s="1" t="s">
        <v>47</v>
      </c>
      <c r="E177" s="8">
        <v>7806659</v>
      </c>
      <c r="F177" s="1" t="s">
        <v>81</v>
      </c>
      <c r="G177" s="1">
        <v>2020</v>
      </c>
      <c r="H177" s="1" t="str">
        <f>IF(tblFLOWOD[[#This Row],[nama_asal]]=tblFLOWOD[[#This Row],[nama_tujuan]],"keluar","isi")</f>
        <v>keluar</v>
      </c>
      <c r="I177" s="1" t="str">
        <f>METADATA_SOURCES!$A$2</f>
        <v>SRC001</v>
      </c>
    </row>
    <row r="178" spans="1:9" x14ac:dyDescent="0.3">
      <c r="A178" s="1">
        <v>16</v>
      </c>
      <c r="B178" s="1" t="s">
        <v>47</v>
      </c>
      <c r="C178" s="1">
        <v>17</v>
      </c>
      <c r="D178" s="1" t="s">
        <v>48</v>
      </c>
      <c r="E178" s="8">
        <v>8714</v>
      </c>
      <c r="F178" s="1" t="s">
        <v>81</v>
      </c>
      <c r="G178" s="1">
        <v>2020</v>
      </c>
      <c r="H178" s="1" t="str">
        <f>IF(tblFLOWOD[[#This Row],[nama_asal]]=tblFLOWOD[[#This Row],[nama_tujuan]],"keluar","isi")</f>
        <v>isi</v>
      </c>
      <c r="I178" s="1" t="str">
        <f>METADATA_SOURCES!$A$2</f>
        <v>SRC001</v>
      </c>
    </row>
    <row r="179" spans="1:9" x14ac:dyDescent="0.3">
      <c r="A179" s="1">
        <v>16</v>
      </c>
      <c r="B179" s="1" t="s">
        <v>47</v>
      </c>
      <c r="C179" s="1">
        <v>18</v>
      </c>
      <c r="D179" s="1" t="s">
        <v>49</v>
      </c>
      <c r="E179" s="8">
        <v>24030</v>
      </c>
      <c r="F179" s="1" t="s">
        <v>81</v>
      </c>
      <c r="G179" s="1">
        <v>2020</v>
      </c>
      <c r="H179" s="1" t="str">
        <f>IF(tblFLOWOD[[#This Row],[nama_asal]]=tblFLOWOD[[#This Row],[nama_tujuan]],"keluar","isi")</f>
        <v>isi</v>
      </c>
      <c r="I179" s="1" t="str">
        <f>METADATA_SOURCES!$A$2</f>
        <v>SRC001</v>
      </c>
    </row>
    <row r="180" spans="1:9" x14ac:dyDescent="0.3">
      <c r="A180" s="1">
        <v>16</v>
      </c>
      <c r="B180" s="1" t="s">
        <v>47</v>
      </c>
      <c r="C180" s="1">
        <v>19</v>
      </c>
      <c r="D180" s="1" t="s">
        <v>50</v>
      </c>
      <c r="E180" s="8">
        <v>7400</v>
      </c>
      <c r="F180" s="1" t="s">
        <v>81</v>
      </c>
      <c r="G180" s="1">
        <v>2020</v>
      </c>
      <c r="H180" s="1" t="str">
        <f>IF(tblFLOWOD[[#This Row],[nama_asal]]=tblFLOWOD[[#This Row],[nama_tujuan]],"keluar","isi")</f>
        <v>isi</v>
      </c>
      <c r="I180" s="1" t="str">
        <f>METADATA_SOURCES!$A$2</f>
        <v>SRC001</v>
      </c>
    </row>
    <row r="181" spans="1:9" x14ac:dyDescent="0.3">
      <c r="A181" s="1">
        <v>16</v>
      </c>
      <c r="B181" s="1" t="s">
        <v>47</v>
      </c>
      <c r="C181" s="1">
        <v>21</v>
      </c>
      <c r="D181" s="1" t="s">
        <v>51</v>
      </c>
      <c r="E181" s="8">
        <v>4643</v>
      </c>
      <c r="F181" s="1" t="s">
        <v>81</v>
      </c>
      <c r="G181" s="1">
        <v>2020</v>
      </c>
      <c r="H181" s="1" t="str">
        <f>IF(tblFLOWOD[[#This Row],[nama_asal]]=tblFLOWOD[[#This Row],[nama_tujuan]],"keluar","isi")</f>
        <v>isi</v>
      </c>
      <c r="I181" s="1" t="str">
        <f>METADATA_SOURCES!$A$2</f>
        <v>SRC001</v>
      </c>
    </row>
    <row r="182" spans="1:9" x14ac:dyDescent="0.3">
      <c r="A182" s="1">
        <v>16</v>
      </c>
      <c r="B182" s="1" t="s">
        <v>47</v>
      </c>
      <c r="C182" s="1">
        <v>31</v>
      </c>
      <c r="D182" s="1" t="s">
        <v>52</v>
      </c>
      <c r="E182" s="8">
        <v>3055</v>
      </c>
      <c r="F182" s="1" t="s">
        <v>81</v>
      </c>
      <c r="G182" s="1">
        <v>2020</v>
      </c>
      <c r="H182" s="1" t="str">
        <f>IF(tblFLOWOD[[#This Row],[nama_asal]]=tblFLOWOD[[#This Row],[nama_tujuan]],"keluar","isi")</f>
        <v>isi</v>
      </c>
      <c r="I182" s="1" t="str">
        <f>METADATA_SOURCES!$A$2</f>
        <v>SRC001</v>
      </c>
    </row>
    <row r="183" spans="1:9" x14ac:dyDescent="0.3">
      <c r="A183" s="1">
        <v>16</v>
      </c>
      <c r="B183" s="1" t="s">
        <v>47</v>
      </c>
      <c r="C183" s="1">
        <v>32</v>
      </c>
      <c r="D183" s="1" t="s">
        <v>53</v>
      </c>
      <c r="E183" s="8">
        <v>10468</v>
      </c>
      <c r="F183" s="1" t="s">
        <v>81</v>
      </c>
      <c r="G183" s="1">
        <v>2020</v>
      </c>
      <c r="H183" s="1" t="str">
        <f>IF(tblFLOWOD[[#This Row],[nama_asal]]=tblFLOWOD[[#This Row],[nama_tujuan]],"keluar","isi")</f>
        <v>isi</v>
      </c>
      <c r="I183" s="1" t="str">
        <f>METADATA_SOURCES!$A$2</f>
        <v>SRC001</v>
      </c>
    </row>
    <row r="184" spans="1:9" x14ac:dyDescent="0.3">
      <c r="A184" s="1">
        <v>16</v>
      </c>
      <c r="B184" s="1" t="s">
        <v>47</v>
      </c>
      <c r="C184" s="1">
        <v>33</v>
      </c>
      <c r="D184" s="1" t="s">
        <v>54</v>
      </c>
      <c r="E184" s="8">
        <v>12127</v>
      </c>
      <c r="F184" s="1" t="s">
        <v>81</v>
      </c>
      <c r="G184" s="1">
        <v>2020</v>
      </c>
      <c r="H184" s="1" t="str">
        <f>IF(tblFLOWOD[[#This Row],[nama_asal]]=tblFLOWOD[[#This Row],[nama_tujuan]],"keluar","isi")</f>
        <v>isi</v>
      </c>
      <c r="I184" s="1" t="str">
        <f>METADATA_SOURCES!$A$2</f>
        <v>SRC001</v>
      </c>
    </row>
    <row r="185" spans="1:9" x14ac:dyDescent="0.3">
      <c r="A185" s="1">
        <v>16</v>
      </c>
      <c r="B185" s="1" t="s">
        <v>47</v>
      </c>
      <c r="C185" s="1">
        <v>34</v>
      </c>
      <c r="D185" s="1" t="s">
        <v>55</v>
      </c>
      <c r="E185" s="8">
        <v>4546</v>
      </c>
      <c r="F185" s="1" t="s">
        <v>81</v>
      </c>
      <c r="G185" s="1">
        <v>2020</v>
      </c>
      <c r="H185" s="1" t="str">
        <f>IF(tblFLOWOD[[#This Row],[nama_asal]]=tblFLOWOD[[#This Row],[nama_tujuan]],"keluar","isi")</f>
        <v>isi</v>
      </c>
      <c r="I185" s="1" t="str">
        <f>METADATA_SOURCES!$A$2</f>
        <v>SRC001</v>
      </c>
    </row>
    <row r="186" spans="1:9" x14ac:dyDescent="0.3">
      <c r="A186" s="1">
        <v>16</v>
      </c>
      <c r="B186" s="1" t="s">
        <v>47</v>
      </c>
      <c r="C186" s="1">
        <v>35</v>
      </c>
      <c r="D186" s="1" t="s">
        <v>56</v>
      </c>
      <c r="E186" s="8">
        <v>7635</v>
      </c>
      <c r="F186" s="1" t="s">
        <v>81</v>
      </c>
      <c r="G186" s="1">
        <v>2020</v>
      </c>
      <c r="H186" s="1" t="str">
        <f>IF(tblFLOWOD[[#This Row],[nama_asal]]=tblFLOWOD[[#This Row],[nama_tujuan]],"keluar","isi")</f>
        <v>isi</v>
      </c>
      <c r="I186" s="1" t="str">
        <f>METADATA_SOURCES!$A$2</f>
        <v>SRC001</v>
      </c>
    </row>
    <row r="187" spans="1:9" x14ac:dyDescent="0.3">
      <c r="A187" s="1">
        <v>16</v>
      </c>
      <c r="B187" s="1" t="s">
        <v>47</v>
      </c>
      <c r="C187" s="1">
        <v>36</v>
      </c>
      <c r="D187" s="1" t="s">
        <v>57</v>
      </c>
      <c r="E187" s="8">
        <v>5788</v>
      </c>
      <c r="F187" s="1" t="s">
        <v>81</v>
      </c>
      <c r="G187" s="1">
        <v>2020</v>
      </c>
      <c r="H187" s="1" t="str">
        <f>IF(tblFLOWOD[[#This Row],[nama_asal]]=tblFLOWOD[[#This Row],[nama_tujuan]],"keluar","isi")</f>
        <v>isi</v>
      </c>
      <c r="I187" s="1" t="str">
        <f>METADATA_SOURCES!$A$2</f>
        <v>SRC001</v>
      </c>
    </row>
    <row r="188" spans="1:9" x14ac:dyDescent="0.3">
      <c r="A188" s="1">
        <v>16</v>
      </c>
      <c r="B188" s="1" t="s">
        <v>47</v>
      </c>
      <c r="C188" s="1">
        <v>51</v>
      </c>
      <c r="D188" s="1" t="s">
        <v>58</v>
      </c>
      <c r="E188" s="8">
        <v>889</v>
      </c>
      <c r="F188" s="1" t="s">
        <v>81</v>
      </c>
      <c r="G188" s="1">
        <v>2020</v>
      </c>
      <c r="H188" s="1" t="str">
        <f>IF(tblFLOWOD[[#This Row],[nama_asal]]=tblFLOWOD[[#This Row],[nama_tujuan]],"keluar","isi")</f>
        <v>isi</v>
      </c>
      <c r="I188" s="1" t="str">
        <f>METADATA_SOURCES!$A$2</f>
        <v>SRC001</v>
      </c>
    </row>
    <row r="189" spans="1:9" x14ac:dyDescent="0.3">
      <c r="A189" s="1">
        <v>16</v>
      </c>
      <c r="B189" s="1" t="s">
        <v>47</v>
      </c>
      <c r="C189" s="1">
        <v>52</v>
      </c>
      <c r="D189" s="1" t="s">
        <v>59</v>
      </c>
      <c r="E189" s="8">
        <v>629</v>
      </c>
      <c r="F189" s="1" t="s">
        <v>81</v>
      </c>
      <c r="G189" s="1">
        <v>2020</v>
      </c>
      <c r="H189" s="1" t="str">
        <f>IF(tblFLOWOD[[#This Row],[nama_asal]]=tblFLOWOD[[#This Row],[nama_tujuan]],"keluar","isi")</f>
        <v>isi</v>
      </c>
      <c r="I189" s="1" t="str">
        <f>METADATA_SOURCES!$A$2</f>
        <v>SRC001</v>
      </c>
    </row>
    <row r="190" spans="1:9" x14ac:dyDescent="0.3">
      <c r="A190" s="1">
        <v>16</v>
      </c>
      <c r="B190" s="1" t="s">
        <v>47</v>
      </c>
      <c r="C190" s="1">
        <v>53</v>
      </c>
      <c r="D190" s="1" t="s">
        <v>60</v>
      </c>
      <c r="E190" s="8">
        <v>463</v>
      </c>
      <c r="F190" s="1" t="s">
        <v>81</v>
      </c>
      <c r="G190" s="1">
        <v>2020</v>
      </c>
      <c r="H190" s="1" t="str">
        <f>IF(tblFLOWOD[[#This Row],[nama_asal]]=tblFLOWOD[[#This Row],[nama_tujuan]],"keluar","isi")</f>
        <v>isi</v>
      </c>
      <c r="I190" s="1" t="str">
        <f>METADATA_SOURCES!$A$2</f>
        <v>SRC001</v>
      </c>
    </row>
    <row r="191" spans="1:9" x14ac:dyDescent="0.3">
      <c r="A191" s="1">
        <v>16</v>
      </c>
      <c r="B191" s="1" t="s">
        <v>47</v>
      </c>
      <c r="C191" s="1">
        <v>61</v>
      </c>
      <c r="D191" s="1" t="s">
        <v>61</v>
      </c>
      <c r="E191" s="8">
        <v>188</v>
      </c>
      <c r="F191" s="1" t="s">
        <v>81</v>
      </c>
      <c r="G191" s="1">
        <v>2020</v>
      </c>
      <c r="H191" s="1" t="str">
        <f>IF(tblFLOWOD[[#This Row],[nama_asal]]=tblFLOWOD[[#This Row],[nama_tujuan]],"keluar","isi")</f>
        <v>isi</v>
      </c>
      <c r="I191" s="1" t="str">
        <f>METADATA_SOURCES!$A$2</f>
        <v>SRC001</v>
      </c>
    </row>
    <row r="192" spans="1:9" x14ac:dyDescent="0.3">
      <c r="A192" s="1">
        <v>16</v>
      </c>
      <c r="B192" s="1" t="s">
        <v>47</v>
      </c>
      <c r="C192" s="1">
        <v>62</v>
      </c>
      <c r="D192" s="1" t="s">
        <v>62</v>
      </c>
      <c r="E192" s="8">
        <v>617</v>
      </c>
      <c r="F192" s="1" t="s">
        <v>81</v>
      </c>
      <c r="G192" s="1">
        <v>2020</v>
      </c>
      <c r="H192" s="1" t="str">
        <f>IF(tblFLOWOD[[#This Row],[nama_asal]]=tblFLOWOD[[#This Row],[nama_tujuan]],"keluar","isi")</f>
        <v>isi</v>
      </c>
      <c r="I192" s="1" t="str">
        <f>METADATA_SOURCES!$A$2</f>
        <v>SRC001</v>
      </c>
    </row>
    <row r="193" spans="1:9" x14ac:dyDescent="0.3">
      <c r="A193" s="1">
        <v>16</v>
      </c>
      <c r="B193" s="1" t="s">
        <v>47</v>
      </c>
      <c r="C193" s="1">
        <v>63</v>
      </c>
      <c r="D193" s="1" t="s">
        <v>63</v>
      </c>
      <c r="E193" s="8">
        <v>541</v>
      </c>
      <c r="F193" s="1" t="s">
        <v>81</v>
      </c>
      <c r="G193" s="1">
        <v>2020</v>
      </c>
      <c r="H193" s="1" t="str">
        <f>IF(tblFLOWOD[[#This Row],[nama_asal]]=tblFLOWOD[[#This Row],[nama_tujuan]],"keluar","isi")</f>
        <v>isi</v>
      </c>
      <c r="I193" s="1" t="str">
        <f>METADATA_SOURCES!$A$2</f>
        <v>SRC001</v>
      </c>
    </row>
    <row r="194" spans="1:9" x14ac:dyDescent="0.3">
      <c r="A194" s="1">
        <v>16</v>
      </c>
      <c r="B194" s="1" t="s">
        <v>47</v>
      </c>
      <c r="C194" s="1">
        <v>64</v>
      </c>
      <c r="D194" s="1" t="s">
        <v>64</v>
      </c>
      <c r="E194" s="8">
        <v>1364</v>
      </c>
      <c r="F194" s="1" t="s">
        <v>81</v>
      </c>
      <c r="G194" s="1">
        <v>2020</v>
      </c>
      <c r="H194" s="1" t="str">
        <f>IF(tblFLOWOD[[#This Row],[nama_asal]]=tblFLOWOD[[#This Row],[nama_tujuan]],"keluar","isi")</f>
        <v>isi</v>
      </c>
      <c r="I194" s="1" t="str">
        <f>METADATA_SOURCES!$A$2</f>
        <v>SRC001</v>
      </c>
    </row>
    <row r="195" spans="1:9" x14ac:dyDescent="0.3">
      <c r="A195" s="1">
        <v>16</v>
      </c>
      <c r="B195" s="1" t="s">
        <v>47</v>
      </c>
      <c r="C195" s="1">
        <v>65</v>
      </c>
      <c r="D195" s="1" t="s">
        <v>65</v>
      </c>
      <c r="E195" s="8">
        <v>56</v>
      </c>
      <c r="F195" s="1" t="s">
        <v>81</v>
      </c>
      <c r="G195" s="1">
        <v>2020</v>
      </c>
      <c r="H195" s="1" t="str">
        <f>IF(tblFLOWOD[[#This Row],[nama_asal]]=tblFLOWOD[[#This Row],[nama_tujuan]],"keluar","isi")</f>
        <v>isi</v>
      </c>
      <c r="I195" s="1" t="str">
        <f>METADATA_SOURCES!$A$2</f>
        <v>SRC001</v>
      </c>
    </row>
    <row r="196" spans="1:9" x14ac:dyDescent="0.3">
      <c r="A196" s="1">
        <v>16</v>
      </c>
      <c r="B196" s="1" t="s">
        <v>47</v>
      </c>
      <c r="C196" s="1">
        <v>71</v>
      </c>
      <c r="D196" s="1" t="s">
        <v>66</v>
      </c>
      <c r="E196" s="8">
        <v>136</v>
      </c>
      <c r="F196" s="1" t="s">
        <v>81</v>
      </c>
      <c r="G196" s="1">
        <v>2020</v>
      </c>
      <c r="H196" s="1" t="str">
        <f>IF(tblFLOWOD[[#This Row],[nama_asal]]=tblFLOWOD[[#This Row],[nama_tujuan]],"keluar","isi")</f>
        <v>isi</v>
      </c>
      <c r="I196" s="1" t="str">
        <f>METADATA_SOURCES!$A$2</f>
        <v>SRC001</v>
      </c>
    </row>
    <row r="197" spans="1:9" x14ac:dyDescent="0.3">
      <c r="A197" s="1">
        <v>16</v>
      </c>
      <c r="B197" s="1" t="s">
        <v>47</v>
      </c>
      <c r="C197" s="1">
        <v>72</v>
      </c>
      <c r="D197" s="1" t="s">
        <v>67</v>
      </c>
      <c r="E197" s="8">
        <v>129</v>
      </c>
      <c r="F197" s="1" t="s">
        <v>81</v>
      </c>
      <c r="G197" s="1">
        <v>2020</v>
      </c>
      <c r="H197" s="1" t="str">
        <f>IF(tblFLOWOD[[#This Row],[nama_asal]]=tblFLOWOD[[#This Row],[nama_tujuan]],"keluar","isi")</f>
        <v>isi</v>
      </c>
      <c r="I197" s="1" t="str">
        <f>METADATA_SOURCES!$A$2</f>
        <v>SRC001</v>
      </c>
    </row>
    <row r="198" spans="1:9" x14ac:dyDescent="0.3">
      <c r="A198" s="1">
        <v>16</v>
      </c>
      <c r="B198" s="1" t="s">
        <v>47</v>
      </c>
      <c r="C198" s="1">
        <v>73</v>
      </c>
      <c r="D198" s="1" t="s">
        <v>68</v>
      </c>
      <c r="E198" s="8">
        <v>864</v>
      </c>
      <c r="F198" s="1" t="s">
        <v>81</v>
      </c>
      <c r="G198" s="1">
        <v>2020</v>
      </c>
      <c r="H198" s="1" t="str">
        <f>IF(tblFLOWOD[[#This Row],[nama_asal]]=tblFLOWOD[[#This Row],[nama_tujuan]],"keluar","isi")</f>
        <v>isi</v>
      </c>
      <c r="I198" s="1" t="str">
        <f>METADATA_SOURCES!$A$2</f>
        <v>SRC001</v>
      </c>
    </row>
    <row r="199" spans="1:9" x14ac:dyDescent="0.3">
      <c r="A199" s="1">
        <v>16</v>
      </c>
      <c r="B199" s="1" t="s">
        <v>47</v>
      </c>
      <c r="C199" s="1">
        <v>74</v>
      </c>
      <c r="D199" s="1" t="s">
        <v>69</v>
      </c>
      <c r="E199" s="8">
        <v>77</v>
      </c>
      <c r="F199" s="1" t="s">
        <v>81</v>
      </c>
      <c r="G199" s="1">
        <v>2020</v>
      </c>
      <c r="H199" s="1" t="str">
        <f>IF(tblFLOWOD[[#This Row],[nama_asal]]=tblFLOWOD[[#This Row],[nama_tujuan]],"keluar","isi")</f>
        <v>isi</v>
      </c>
      <c r="I199" s="1" t="str">
        <f>METADATA_SOURCES!$A$2</f>
        <v>SRC001</v>
      </c>
    </row>
    <row r="200" spans="1:9" x14ac:dyDescent="0.3">
      <c r="A200" s="1">
        <v>16</v>
      </c>
      <c r="B200" s="1" t="s">
        <v>47</v>
      </c>
      <c r="C200" s="1">
        <v>75</v>
      </c>
      <c r="D200" s="1" t="s">
        <v>70</v>
      </c>
      <c r="E200" s="8">
        <v>2</v>
      </c>
      <c r="F200" s="1" t="s">
        <v>81</v>
      </c>
      <c r="G200" s="1">
        <v>2020</v>
      </c>
      <c r="H200" s="1" t="str">
        <f>IF(tblFLOWOD[[#This Row],[nama_asal]]=tblFLOWOD[[#This Row],[nama_tujuan]],"keluar","isi")</f>
        <v>isi</v>
      </c>
      <c r="I200" s="1" t="str">
        <f>METADATA_SOURCES!$A$2</f>
        <v>SRC001</v>
      </c>
    </row>
    <row r="201" spans="1:9" x14ac:dyDescent="0.3">
      <c r="A201" s="1">
        <v>16</v>
      </c>
      <c r="B201" s="1" t="s">
        <v>47</v>
      </c>
      <c r="C201" s="1">
        <v>76</v>
      </c>
      <c r="D201" s="1" t="s">
        <v>71</v>
      </c>
      <c r="E201" s="8">
        <v>35</v>
      </c>
      <c r="F201" s="1" t="s">
        <v>81</v>
      </c>
      <c r="G201" s="1">
        <v>2020</v>
      </c>
      <c r="H201" s="1" t="str">
        <f>IF(tblFLOWOD[[#This Row],[nama_asal]]=tblFLOWOD[[#This Row],[nama_tujuan]],"keluar","isi")</f>
        <v>isi</v>
      </c>
      <c r="I201" s="1" t="str">
        <f>METADATA_SOURCES!$A$2</f>
        <v>SRC001</v>
      </c>
    </row>
    <row r="202" spans="1:9" x14ac:dyDescent="0.3">
      <c r="A202" s="1">
        <v>16</v>
      </c>
      <c r="B202" s="1" t="s">
        <v>47</v>
      </c>
      <c r="C202" s="1">
        <v>81</v>
      </c>
      <c r="D202" s="1" t="s">
        <v>72</v>
      </c>
      <c r="E202" s="8">
        <v>21</v>
      </c>
      <c r="F202" s="1" t="s">
        <v>81</v>
      </c>
      <c r="G202" s="1">
        <v>2020</v>
      </c>
      <c r="H202" s="1" t="str">
        <f>IF(tblFLOWOD[[#This Row],[nama_asal]]=tblFLOWOD[[#This Row],[nama_tujuan]],"keluar","isi")</f>
        <v>isi</v>
      </c>
      <c r="I202" s="1" t="str">
        <f>METADATA_SOURCES!$A$2</f>
        <v>SRC001</v>
      </c>
    </row>
    <row r="203" spans="1:9" x14ac:dyDescent="0.3">
      <c r="A203" s="1">
        <v>16</v>
      </c>
      <c r="B203" s="1" t="s">
        <v>47</v>
      </c>
      <c r="C203" s="1">
        <v>82</v>
      </c>
      <c r="D203" s="1" t="s">
        <v>73</v>
      </c>
      <c r="E203" s="8">
        <v>57</v>
      </c>
      <c r="F203" s="1" t="s">
        <v>81</v>
      </c>
      <c r="G203" s="1">
        <v>2020</v>
      </c>
      <c r="H203" s="1" t="str">
        <f>IF(tblFLOWOD[[#This Row],[nama_asal]]=tblFLOWOD[[#This Row],[nama_tujuan]],"keluar","isi")</f>
        <v>isi</v>
      </c>
      <c r="I203" s="1" t="str">
        <f>METADATA_SOURCES!$A$2</f>
        <v>SRC001</v>
      </c>
    </row>
    <row r="204" spans="1:9" x14ac:dyDescent="0.3">
      <c r="A204" s="1">
        <v>16</v>
      </c>
      <c r="B204" s="1" t="s">
        <v>47</v>
      </c>
      <c r="C204" s="1">
        <v>91</v>
      </c>
      <c r="D204" s="1" t="s">
        <v>74</v>
      </c>
      <c r="E204" s="8">
        <v>305</v>
      </c>
      <c r="F204" s="1" t="s">
        <v>81</v>
      </c>
      <c r="G204" s="1">
        <v>2020</v>
      </c>
      <c r="H204" s="1" t="str">
        <f>IF(tblFLOWOD[[#This Row],[nama_asal]]=tblFLOWOD[[#This Row],[nama_tujuan]],"keluar","isi")</f>
        <v>isi</v>
      </c>
      <c r="I204" s="1" t="str">
        <f>METADATA_SOURCES!$A$2</f>
        <v>SRC001</v>
      </c>
    </row>
    <row r="205" spans="1:9" x14ac:dyDescent="0.3">
      <c r="A205" s="1">
        <v>16</v>
      </c>
      <c r="B205" s="1" t="s">
        <v>47</v>
      </c>
      <c r="C205" s="1">
        <v>94</v>
      </c>
      <c r="D205" s="1" t="s">
        <v>75</v>
      </c>
      <c r="E205" s="8">
        <v>79</v>
      </c>
      <c r="F205" s="1" t="s">
        <v>81</v>
      </c>
      <c r="G205" s="1">
        <v>2020</v>
      </c>
      <c r="H205" s="1" t="str">
        <f>IF(tblFLOWOD[[#This Row],[nama_asal]]=tblFLOWOD[[#This Row],[nama_tujuan]],"keluar","isi")</f>
        <v>isi</v>
      </c>
      <c r="I205" s="1" t="str">
        <f>METADATA_SOURCES!$A$2</f>
        <v>SRC001</v>
      </c>
    </row>
    <row r="206" spans="1:9" x14ac:dyDescent="0.3">
      <c r="A206" s="1">
        <v>17</v>
      </c>
      <c r="B206" s="1" t="s">
        <v>48</v>
      </c>
      <c r="C206" s="1">
        <v>11</v>
      </c>
      <c r="D206" s="1" t="s">
        <v>42</v>
      </c>
      <c r="E206" s="8">
        <v>270</v>
      </c>
      <c r="F206" s="1" t="s">
        <v>81</v>
      </c>
      <c r="G206" s="1">
        <v>2020</v>
      </c>
      <c r="H206" s="1" t="str">
        <f>IF(tblFLOWOD[[#This Row],[nama_asal]]=tblFLOWOD[[#This Row],[nama_tujuan]],"keluar","isi")</f>
        <v>isi</v>
      </c>
      <c r="I206" s="1" t="str">
        <f>METADATA_SOURCES!$A$2</f>
        <v>SRC001</v>
      </c>
    </row>
    <row r="207" spans="1:9" x14ac:dyDescent="0.3">
      <c r="A207" s="1">
        <v>17</v>
      </c>
      <c r="B207" s="1" t="s">
        <v>48</v>
      </c>
      <c r="C207" s="1">
        <v>12</v>
      </c>
      <c r="D207" s="1" t="s">
        <v>43</v>
      </c>
      <c r="E207" s="8">
        <v>1794</v>
      </c>
      <c r="F207" s="1" t="s">
        <v>81</v>
      </c>
      <c r="G207" s="1">
        <v>2020</v>
      </c>
      <c r="H207" s="1" t="str">
        <f>IF(tblFLOWOD[[#This Row],[nama_asal]]=tblFLOWOD[[#This Row],[nama_tujuan]],"keluar","isi")</f>
        <v>isi</v>
      </c>
      <c r="I207" s="1" t="str">
        <f>METADATA_SOURCES!$A$2</f>
        <v>SRC001</v>
      </c>
    </row>
    <row r="208" spans="1:9" x14ac:dyDescent="0.3">
      <c r="A208" s="1">
        <v>17</v>
      </c>
      <c r="B208" s="1" t="s">
        <v>48</v>
      </c>
      <c r="C208" s="1">
        <v>13</v>
      </c>
      <c r="D208" s="1" t="s">
        <v>44</v>
      </c>
      <c r="E208" s="8">
        <v>5331</v>
      </c>
      <c r="F208" s="1" t="s">
        <v>81</v>
      </c>
      <c r="G208" s="1">
        <v>2020</v>
      </c>
      <c r="H208" s="1" t="str">
        <f>IF(tblFLOWOD[[#This Row],[nama_asal]]=tblFLOWOD[[#This Row],[nama_tujuan]],"keluar","isi")</f>
        <v>isi</v>
      </c>
      <c r="I208" s="1" t="str">
        <f>METADATA_SOURCES!$A$2</f>
        <v>SRC001</v>
      </c>
    </row>
    <row r="209" spans="1:9" x14ac:dyDescent="0.3">
      <c r="A209" s="1">
        <v>17</v>
      </c>
      <c r="B209" s="1" t="s">
        <v>48</v>
      </c>
      <c r="C209" s="1">
        <v>14</v>
      </c>
      <c r="D209" s="1" t="s">
        <v>45</v>
      </c>
      <c r="E209" s="8">
        <v>936</v>
      </c>
      <c r="F209" s="1" t="s">
        <v>81</v>
      </c>
      <c r="G209" s="1">
        <v>2020</v>
      </c>
      <c r="H209" s="1" t="str">
        <f>IF(tblFLOWOD[[#This Row],[nama_asal]]=tblFLOWOD[[#This Row],[nama_tujuan]],"keluar","isi")</f>
        <v>isi</v>
      </c>
      <c r="I209" s="1" t="str">
        <f>METADATA_SOURCES!$A$2</f>
        <v>SRC001</v>
      </c>
    </row>
    <row r="210" spans="1:9" x14ac:dyDescent="0.3">
      <c r="A210" s="1">
        <v>17</v>
      </c>
      <c r="B210" s="1" t="s">
        <v>48</v>
      </c>
      <c r="C210" s="1">
        <v>15</v>
      </c>
      <c r="D210" s="1" t="s">
        <v>46</v>
      </c>
      <c r="E210" s="8">
        <v>1141</v>
      </c>
      <c r="F210" s="1" t="s">
        <v>81</v>
      </c>
      <c r="G210" s="1">
        <v>2020</v>
      </c>
      <c r="H210" s="1" t="str">
        <f>IF(tblFLOWOD[[#This Row],[nama_asal]]=tblFLOWOD[[#This Row],[nama_tujuan]],"keluar","isi")</f>
        <v>isi</v>
      </c>
      <c r="I210" s="1" t="str">
        <f>METADATA_SOURCES!$A$2</f>
        <v>SRC001</v>
      </c>
    </row>
    <row r="211" spans="1:9" x14ac:dyDescent="0.3">
      <c r="A211" s="1">
        <v>17</v>
      </c>
      <c r="B211" s="1" t="s">
        <v>48</v>
      </c>
      <c r="C211" s="1">
        <v>16</v>
      </c>
      <c r="D211" s="1" t="s">
        <v>47</v>
      </c>
      <c r="E211" s="8">
        <v>7846</v>
      </c>
      <c r="F211" s="1" t="s">
        <v>81</v>
      </c>
      <c r="G211" s="1">
        <v>2020</v>
      </c>
      <c r="H211" s="1" t="str">
        <f>IF(tblFLOWOD[[#This Row],[nama_asal]]=tblFLOWOD[[#This Row],[nama_tujuan]],"keluar","isi")</f>
        <v>isi</v>
      </c>
      <c r="I211" s="1" t="str">
        <f>METADATA_SOURCES!$A$2</f>
        <v>SRC001</v>
      </c>
    </row>
    <row r="212" spans="1:9" x14ac:dyDescent="0.3">
      <c r="A212" s="1">
        <v>17</v>
      </c>
      <c r="B212" s="1" t="s">
        <v>48</v>
      </c>
      <c r="C212" s="1">
        <v>17</v>
      </c>
      <c r="D212" s="1" t="s">
        <v>48</v>
      </c>
      <c r="E212" s="8">
        <v>1849310</v>
      </c>
      <c r="F212" s="1" t="s">
        <v>81</v>
      </c>
      <c r="G212" s="1">
        <v>2020</v>
      </c>
      <c r="H212" s="1" t="str">
        <f>IF(tblFLOWOD[[#This Row],[nama_asal]]=tblFLOWOD[[#This Row],[nama_tujuan]],"keluar","isi")</f>
        <v>keluar</v>
      </c>
      <c r="I212" s="1" t="str">
        <f>METADATA_SOURCES!$A$2</f>
        <v>SRC001</v>
      </c>
    </row>
    <row r="213" spans="1:9" x14ac:dyDescent="0.3">
      <c r="A213" s="1">
        <v>17</v>
      </c>
      <c r="B213" s="1" t="s">
        <v>48</v>
      </c>
      <c r="C213" s="1">
        <v>18</v>
      </c>
      <c r="D213" s="1" t="s">
        <v>49</v>
      </c>
      <c r="E213" s="8">
        <v>1763</v>
      </c>
      <c r="F213" s="1" t="s">
        <v>81</v>
      </c>
      <c r="G213" s="1">
        <v>2020</v>
      </c>
      <c r="H213" s="1" t="str">
        <f>IF(tblFLOWOD[[#This Row],[nama_asal]]=tblFLOWOD[[#This Row],[nama_tujuan]],"keluar","isi")</f>
        <v>isi</v>
      </c>
      <c r="I213" s="1" t="str">
        <f>METADATA_SOURCES!$A$2</f>
        <v>SRC001</v>
      </c>
    </row>
    <row r="214" spans="1:9" x14ac:dyDescent="0.3">
      <c r="A214" s="1">
        <v>17</v>
      </c>
      <c r="B214" s="1" t="s">
        <v>48</v>
      </c>
      <c r="C214" s="1">
        <v>19</v>
      </c>
      <c r="D214" s="1" t="s">
        <v>50</v>
      </c>
      <c r="E214" s="8">
        <v>332</v>
      </c>
      <c r="F214" s="1" t="s">
        <v>81</v>
      </c>
      <c r="G214" s="1">
        <v>2020</v>
      </c>
      <c r="H214" s="1" t="str">
        <f>IF(tblFLOWOD[[#This Row],[nama_asal]]=tblFLOWOD[[#This Row],[nama_tujuan]],"keluar","isi")</f>
        <v>isi</v>
      </c>
      <c r="I214" s="1" t="str">
        <f>METADATA_SOURCES!$A$2</f>
        <v>SRC001</v>
      </c>
    </row>
    <row r="215" spans="1:9" x14ac:dyDescent="0.3">
      <c r="A215" s="1">
        <v>17</v>
      </c>
      <c r="B215" s="1" t="s">
        <v>48</v>
      </c>
      <c r="C215" s="1">
        <v>21</v>
      </c>
      <c r="D215" s="1" t="s">
        <v>51</v>
      </c>
      <c r="E215" s="8">
        <v>970</v>
      </c>
      <c r="F215" s="1" t="s">
        <v>81</v>
      </c>
      <c r="G215" s="1">
        <v>2020</v>
      </c>
      <c r="H215" s="1" t="str">
        <f>IF(tblFLOWOD[[#This Row],[nama_asal]]=tblFLOWOD[[#This Row],[nama_tujuan]],"keluar","isi")</f>
        <v>isi</v>
      </c>
      <c r="I215" s="1" t="str">
        <f>METADATA_SOURCES!$A$2</f>
        <v>SRC001</v>
      </c>
    </row>
    <row r="216" spans="1:9" x14ac:dyDescent="0.3">
      <c r="A216" s="1">
        <v>17</v>
      </c>
      <c r="B216" s="1" t="s">
        <v>48</v>
      </c>
      <c r="C216" s="1">
        <v>31</v>
      </c>
      <c r="D216" s="1" t="s">
        <v>52</v>
      </c>
      <c r="E216" s="8">
        <v>298</v>
      </c>
      <c r="F216" s="1" t="s">
        <v>81</v>
      </c>
      <c r="G216" s="1">
        <v>2020</v>
      </c>
      <c r="H216" s="1" t="str">
        <f>IF(tblFLOWOD[[#This Row],[nama_asal]]=tblFLOWOD[[#This Row],[nama_tujuan]],"keluar","isi")</f>
        <v>isi</v>
      </c>
      <c r="I216" s="1" t="str">
        <f>METADATA_SOURCES!$A$2</f>
        <v>SRC001</v>
      </c>
    </row>
    <row r="217" spans="1:9" x14ac:dyDescent="0.3">
      <c r="A217" s="1">
        <v>17</v>
      </c>
      <c r="B217" s="1" t="s">
        <v>48</v>
      </c>
      <c r="C217" s="1">
        <v>32</v>
      </c>
      <c r="D217" s="1" t="s">
        <v>53</v>
      </c>
      <c r="E217" s="8">
        <v>2515</v>
      </c>
      <c r="F217" s="1" t="s">
        <v>81</v>
      </c>
      <c r="G217" s="1">
        <v>2020</v>
      </c>
      <c r="H217" s="1" t="str">
        <f>IF(tblFLOWOD[[#This Row],[nama_asal]]=tblFLOWOD[[#This Row],[nama_tujuan]],"keluar","isi")</f>
        <v>isi</v>
      </c>
      <c r="I217" s="1" t="str">
        <f>METADATA_SOURCES!$A$2</f>
        <v>SRC001</v>
      </c>
    </row>
    <row r="218" spans="1:9" x14ac:dyDescent="0.3">
      <c r="A218" s="1">
        <v>17</v>
      </c>
      <c r="B218" s="1" t="s">
        <v>48</v>
      </c>
      <c r="C218" s="1">
        <v>33</v>
      </c>
      <c r="D218" s="1" t="s">
        <v>54</v>
      </c>
      <c r="E218" s="8">
        <v>2183</v>
      </c>
      <c r="F218" s="1" t="s">
        <v>81</v>
      </c>
      <c r="G218" s="1">
        <v>2020</v>
      </c>
      <c r="H218" s="1" t="str">
        <f>IF(tblFLOWOD[[#This Row],[nama_asal]]=tblFLOWOD[[#This Row],[nama_tujuan]],"keluar","isi")</f>
        <v>isi</v>
      </c>
      <c r="I218" s="1" t="str">
        <f>METADATA_SOURCES!$A$2</f>
        <v>SRC001</v>
      </c>
    </row>
    <row r="219" spans="1:9" x14ac:dyDescent="0.3">
      <c r="A219" s="1">
        <v>17</v>
      </c>
      <c r="B219" s="1" t="s">
        <v>48</v>
      </c>
      <c r="C219" s="1">
        <v>34</v>
      </c>
      <c r="D219" s="1" t="s">
        <v>55</v>
      </c>
      <c r="E219" s="8">
        <v>1172</v>
      </c>
      <c r="F219" s="1" t="s">
        <v>81</v>
      </c>
      <c r="G219" s="1">
        <v>2020</v>
      </c>
      <c r="H219" s="1" t="str">
        <f>IF(tblFLOWOD[[#This Row],[nama_asal]]=tblFLOWOD[[#This Row],[nama_tujuan]],"keluar","isi")</f>
        <v>isi</v>
      </c>
      <c r="I219" s="1" t="str">
        <f>METADATA_SOURCES!$A$2</f>
        <v>SRC001</v>
      </c>
    </row>
    <row r="220" spans="1:9" x14ac:dyDescent="0.3">
      <c r="A220" s="1">
        <v>17</v>
      </c>
      <c r="B220" s="1" t="s">
        <v>48</v>
      </c>
      <c r="C220" s="1">
        <v>35</v>
      </c>
      <c r="D220" s="1" t="s">
        <v>56</v>
      </c>
      <c r="E220" s="8">
        <v>1040</v>
      </c>
      <c r="F220" s="1" t="s">
        <v>81</v>
      </c>
      <c r="G220" s="1">
        <v>2020</v>
      </c>
      <c r="H220" s="1" t="str">
        <f>IF(tblFLOWOD[[#This Row],[nama_asal]]=tblFLOWOD[[#This Row],[nama_tujuan]],"keluar","isi")</f>
        <v>isi</v>
      </c>
      <c r="I220" s="1" t="str">
        <f>METADATA_SOURCES!$A$2</f>
        <v>SRC001</v>
      </c>
    </row>
    <row r="221" spans="1:9" x14ac:dyDescent="0.3">
      <c r="A221" s="1">
        <v>17</v>
      </c>
      <c r="B221" s="1" t="s">
        <v>48</v>
      </c>
      <c r="C221" s="1">
        <v>36</v>
      </c>
      <c r="D221" s="1" t="s">
        <v>57</v>
      </c>
      <c r="E221" s="8">
        <v>578</v>
      </c>
      <c r="F221" s="1" t="s">
        <v>81</v>
      </c>
      <c r="G221" s="1">
        <v>2020</v>
      </c>
      <c r="H221" s="1" t="str">
        <f>IF(tblFLOWOD[[#This Row],[nama_asal]]=tblFLOWOD[[#This Row],[nama_tujuan]],"keluar","isi")</f>
        <v>isi</v>
      </c>
      <c r="I221" s="1" t="str">
        <f>METADATA_SOURCES!$A$2</f>
        <v>SRC001</v>
      </c>
    </row>
    <row r="222" spans="1:9" x14ac:dyDescent="0.3">
      <c r="A222" s="1">
        <v>17</v>
      </c>
      <c r="B222" s="1" t="s">
        <v>48</v>
      </c>
      <c r="C222" s="1">
        <v>51</v>
      </c>
      <c r="D222" s="1" t="s">
        <v>58</v>
      </c>
      <c r="E222" s="8">
        <v>5</v>
      </c>
      <c r="F222" s="1" t="s">
        <v>81</v>
      </c>
      <c r="G222" s="1">
        <v>2020</v>
      </c>
      <c r="H222" s="1" t="str">
        <f>IF(tblFLOWOD[[#This Row],[nama_asal]]=tblFLOWOD[[#This Row],[nama_tujuan]],"keluar","isi")</f>
        <v>isi</v>
      </c>
      <c r="I222" s="1" t="str">
        <f>METADATA_SOURCES!$A$2</f>
        <v>SRC001</v>
      </c>
    </row>
    <row r="223" spans="1:9" x14ac:dyDescent="0.3">
      <c r="A223" s="1">
        <v>17</v>
      </c>
      <c r="B223" s="1" t="s">
        <v>48</v>
      </c>
      <c r="C223" s="1">
        <v>52</v>
      </c>
      <c r="D223" s="1" t="s">
        <v>59</v>
      </c>
      <c r="E223" s="8">
        <v>23</v>
      </c>
      <c r="F223" s="1" t="s">
        <v>81</v>
      </c>
      <c r="G223" s="1">
        <v>2020</v>
      </c>
      <c r="H223" s="1" t="str">
        <f>IF(tblFLOWOD[[#This Row],[nama_asal]]=tblFLOWOD[[#This Row],[nama_tujuan]],"keluar","isi")</f>
        <v>isi</v>
      </c>
      <c r="I223" s="1" t="str">
        <f>METADATA_SOURCES!$A$2</f>
        <v>SRC001</v>
      </c>
    </row>
    <row r="224" spans="1:9" x14ac:dyDescent="0.3">
      <c r="A224" s="1">
        <v>17</v>
      </c>
      <c r="B224" s="1" t="s">
        <v>48</v>
      </c>
      <c r="C224" s="1">
        <v>53</v>
      </c>
      <c r="D224" s="1" t="s">
        <v>60</v>
      </c>
      <c r="E224" s="8">
        <v>50</v>
      </c>
      <c r="F224" s="1" t="s">
        <v>81</v>
      </c>
      <c r="G224" s="1">
        <v>2020</v>
      </c>
      <c r="H224" s="1" t="str">
        <f>IF(tblFLOWOD[[#This Row],[nama_asal]]=tblFLOWOD[[#This Row],[nama_tujuan]],"keluar","isi")</f>
        <v>isi</v>
      </c>
      <c r="I224" s="1" t="str">
        <f>METADATA_SOURCES!$A$2</f>
        <v>SRC001</v>
      </c>
    </row>
    <row r="225" spans="1:9" x14ac:dyDescent="0.3">
      <c r="A225" s="1">
        <v>17</v>
      </c>
      <c r="B225" s="1" t="s">
        <v>48</v>
      </c>
      <c r="C225" s="1">
        <v>61</v>
      </c>
      <c r="D225" s="1" t="s">
        <v>61</v>
      </c>
      <c r="E225" s="8">
        <v>55</v>
      </c>
      <c r="F225" s="1" t="s">
        <v>81</v>
      </c>
      <c r="G225" s="1">
        <v>2020</v>
      </c>
      <c r="H225" s="1" t="str">
        <f>IF(tblFLOWOD[[#This Row],[nama_asal]]=tblFLOWOD[[#This Row],[nama_tujuan]],"keluar","isi")</f>
        <v>isi</v>
      </c>
      <c r="I225" s="1" t="str">
        <f>METADATA_SOURCES!$A$2</f>
        <v>SRC001</v>
      </c>
    </row>
    <row r="226" spans="1:9" x14ac:dyDescent="0.3">
      <c r="A226" s="1">
        <v>17</v>
      </c>
      <c r="B226" s="1" t="s">
        <v>48</v>
      </c>
      <c r="C226" s="1">
        <v>62</v>
      </c>
      <c r="D226" s="1" t="s">
        <v>62</v>
      </c>
      <c r="E226" s="8">
        <v>136</v>
      </c>
      <c r="F226" s="1" t="s">
        <v>81</v>
      </c>
      <c r="G226" s="1">
        <v>2020</v>
      </c>
      <c r="H226" s="1" t="str">
        <f>IF(tblFLOWOD[[#This Row],[nama_asal]]=tblFLOWOD[[#This Row],[nama_tujuan]],"keluar","isi")</f>
        <v>isi</v>
      </c>
      <c r="I226" s="1" t="str">
        <f>METADATA_SOURCES!$A$2</f>
        <v>SRC001</v>
      </c>
    </row>
    <row r="227" spans="1:9" x14ac:dyDescent="0.3">
      <c r="A227" s="1">
        <v>17</v>
      </c>
      <c r="B227" s="1" t="s">
        <v>48</v>
      </c>
      <c r="C227" s="1">
        <v>63</v>
      </c>
      <c r="D227" s="1" t="s">
        <v>63</v>
      </c>
      <c r="E227" s="8">
        <v>21</v>
      </c>
      <c r="F227" s="1" t="s">
        <v>81</v>
      </c>
      <c r="G227" s="1">
        <v>2020</v>
      </c>
      <c r="H227" s="1" t="str">
        <f>IF(tblFLOWOD[[#This Row],[nama_asal]]=tblFLOWOD[[#This Row],[nama_tujuan]],"keluar","isi")</f>
        <v>isi</v>
      </c>
      <c r="I227" s="1" t="str">
        <f>METADATA_SOURCES!$A$2</f>
        <v>SRC001</v>
      </c>
    </row>
    <row r="228" spans="1:9" x14ac:dyDescent="0.3">
      <c r="A228" s="1">
        <v>17</v>
      </c>
      <c r="B228" s="1" t="s">
        <v>48</v>
      </c>
      <c r="C228" s="1">
        <v>64</v>
      </c>
      <c r="D228" s="1" t="s">
        <v>64</v>
      </c>
      <c r="E228" s="8">
        <v>86</v>
      </c>
      <c r="F228" s="1" t="s">
        <v>81</v>
      </c>
      <c r="G228" s="1">
        <v>2020</v>
      </c>
      <c r="H228" s="1" t="str">
        <f>IF(tblFLOWOD[[#This Row],[nama_asal]]=tblFLOWOD[[#This Row],[nama_tujuan]],"keluar","isi")</f>
        <v>isi</v>
      </c>
      <c r="I228" s="1" t="str">
        <f>METADATA_SOURCES!$A$2</f>
        <v>SRC001</v>
      </c>
    </row>
    <row r="229" spans="1:9" x14ac:dyDescent="0.3">
      <c r="A229" s="1">
        <v>17</v>
      </c>
      <c r="B229" s="1" t="s">
        <v>48</v>
      </c>
      <c r="C229" s="1">
        <v>65</v>
      </c>
      <c r="D229" s="1" t="s">
        <v>65</v>
      </c>
      <c r="E229" s="8">
        <v>6</v>
      </c>
      <c r="F229" s="1" t="s">
        <v>81</v>
      </c>
      <c r="G229" s="1">
        <v>2020</v>
      </c>
      <c r="H229" s="1" t="str">
        <f>IF(tblFLOWOD[[#This Row],[nama_asal]]=tblFLOWOD[[#This Row],[nama_tujuan]],"keluar","isi")</f>
        <v>isi</v>
      </c>
      <c r="I229" s="1" t="str">
        <f>METADATA_SOURCES!$A$2</f>
        <v>SRC001</v>
      </c>
    </row>
    <row r="230" spans="1:9" x14ac:dyDescent="0.3">
      <c r="A230" s="1">
        <v>17</v>
      </c>
      <c r="B230" s="1" t="s">
        <v>48</v>
      </c>
      <c r="C230" s="1">
        <v>71</v>
      </c>
      <c r="D230" s="1" t="s">
        <v>66</v>
      </c>
      <c r="E230" s="8">
        <v>0</v>
      </c>
      <c r="F230" s="1" t="s">
        <v>81</v>
      </c>
      <c r="G230" s="1">
        <v>2020</v>
      </c>
      <c r="H230" s="1" t="str">
        <f>IF(tblFLOWOD[[#This Row],[nama_asal]]=tblFLOWOD[[#This Row],[nama_tujuan]],"keluar","isi")</f>
        <v>isi</v>
      </c>
      <c r="I230" s="1" t="str">
        <f>METADATA_SOURCES!$A$2</f>
        <v>SRC001</v>
      </c>
    </row>
    <row r="231" spans="1:9" x14ac:dyDescent="0.3">
      <c r="A231" s="1">
        <v>17</v>
      </c>
      <c r="B231" s="1" t="s">
        <v>48</v>
      </c>
      <c r="C231" s="1">
        <v>72</v>
      </c>
      <c r="D231" s="1" t="s">
        <v>67</v>
      </c>
      <c r="E231" s="8">
        <v>53</v>
      </c>
      <c r="F231" s="1" t="s">
        <v>81</v>
      </c>
      <c r="G231" s="1">
        <v>2020</v>
      </c>
      <c r="H231" s="1" t="str">
        <f>IF(tblFLOWOD[[#This Row],[nama_asal]]=tblFLOWOD[[#This Row],[nama_tujuan]],"keluar","isi")</f>
        <v>isi</v>
      </c>
      <c r="I231" s="1" t="str">
        <f>METADATA_SOURCES!$A$2</f>
        <v>SRC001</v>
      </c>
    </row>
    <row r="232" spans="1:9" x14ac:dyDescent="0.3">
      <c r="A232" s="1">
        <v>17</v>
      </c>
      <c r="B232" s="1" t="s">
        <v>48</v>
      </c>
      <c r="C232" s="1">
        <v>73</v>
      </c>
      <c r="D232" s="1" t="s">
        <v>68</v>
      </c>
      <c r="E232" s="8">
        <v>41</v>
      </c>
      <c r="F232" s="1" t="s">
        <v>81</v>
      </c>
      <c r="G232" s="1">
        <v>2020</v>
      </c>
      <c r="H232" s="1" t="str">
        <f>IF(tblFLOWOD[[#This Row],[nama_asal]]=tblFLOWOD[[#This Row],[nama_tujuan]],"keluar","isi")</f>
        <v>isi</v>
      </c>
      <c r="I232" s="1" t="str">
        <f>METADATA_SOURCES!$A$2</f>
        <v>SRC001</v>
      </c>
    </row>
    <row r="233" spans="1:9" x14ac:dyDescent="0.3">
      <c r="A233" s="1">
        <v>17</v>
      </c>
      <c r="B233" s="1" t="s">
        <v>48</v>
      </c>
      <c r="C233" s="1">
        <v>74</v>
      </c>
      <c r="D233" s="1" t="s">
        <v>69</v>
      </c>
      <c r="E233" s="8">
        <v>0</v>
      </c>
      <c r="F233" s="1" t="s">
        <v>81</v>
      </c>
      <c r="G233" s="1">
        <v>2020</v>
      </c>
      <c r="H233" s="1" t="str">
        <f>IF(tblFLOWOD[[#This Row],[nama_asal]]=tblFLOWOD[[#This Row],[nama_tujuan]],"keluar","isi")</f>
        <v>isi</v>
      </c>
      <c r="I233" s="1" t="str">
        <f>METADATA_SOURCES!$A$2</f>
        <v>SRC001</v>
      </c>
    </row>
    <row r="234" spans="1:9" x14ac:dyDescent="0.3">
      <c r="A234" s="1">
        <v>17</v>
      </c>
      <c r="B234" s="1" t="s">
        <v>48</v>
      </c>
      <c r="C234" s="1">
        <v>75</v>
      </c>
      <c r="D234" s="1" t="s">
        <v>70</v>
      </c>
      <c r="E234" s="8">
        <v>37</v>
      </c>
      <c r="F234" s="1" t="s">
        <v>81</v>
      </c>
      <c r="G234" s="1">
        <v>2020</v>
      </c>
      <c r="H234" s="1" t="str">
        <f>IF(tblFLOWOD[[#This Row],[nama_asal]]=tblFLOWOD[[#This Row],[nama_tujuan]],"keluar","isi")</f>
        <v>isi</v>
      </c>
      <c r="I234" s="1" t="str">
        <f>METADATA_SOURCES!$A$2</f>
        <v>SRC001</v>
      </c>
    </row>
    <row r="235" spans="1:9" x14ac:dyDescent="0.3">
      <c r="A235" s="1">
        <v>17</v>
      </c>
      <c r="B235" s="1" t="s">
        <v>48</v>
      </c>
      <c r="C235" s="1">
        <v>76</v>
      </c>
      <c r="D235" s="1" t="s">
        <v>71</v>
      </c>
      <c r="E235" s="8">
        <v>101</v>
      </c>
      <c r="F235" s="1" t="s">
        <v>81</v>
      </c>
      <c r="G235" s="1">
        <v>2020</v>
      </c>
      <c r="H235" s="1" t="str">
        <f>IF(tblFLOWOD[[#This Row],[nama_asal]]=tblFLOWOD[[#This Row],[nama_tujuan]],"keluar","isi")</f>
        <v>isi</v>
      </c>
      <c r="I235" s="1" t="str">
        <f>METADATA_SOURCES!$A$2</f>
        <v>SRC001</v>
      </c>
    </row>
    <row r="236" spans="1:9" x14ac:dyDescent="0.3">
      <c r="A236" s="1">
        <v>17</v>
      </c>
      <c r="B236" s="1" t="s">
        <v>48</v>
      </c>
      <c r="C236" s="1">
        <v>81</v>
      </c>
      <c r="D236" s="1" t="s">
        <v>72</v>
      </c>
      <c r="E236" s="8">
        <v>0</v>
      </c>
      <c r="F236" s="1" t="s">
        <v>81</v>
      </c>
      <c r="G236" s="1">
        <v>2020</v>
      </c>
      <c r="H236" s="1" t="str">
        <f>IF(tblFLOWOD[[#This Row],[nama_asal]]=tblFLOWOD[[#This Row],[nama_tujuan]],"keluar","isi")</f>
        <v>isi</v>
      </c>
      <c r="I236" s="1" t="str">
        <f>METADATA_SOURCES!$A$2</f>
        <v>SRC001</v>
      </c>
    </row>
    <row r="237" spans="1:9" x14ac:dyDescent="0.3">
      <c r="A237" s="1">
        <v>17</v>
      </c>
      <c r="B237" s="1" t="s">
        <v>48</v>
      </c>
      <c r="C237" s="1">
        <v>82</v>
      </c>
      <c r="D237" s="1" t="s">
        <v>73</v>
      </c>
      <c r="E237" s="8">
        <v>63</v>
      </c>
      <c r="F237" s="1" t="s">
        <v>81</v>
      </c>
      <c r="G237" s="1">
        <v>2020</v>
      </c>
      <c r="H237" s="1" t="str">
        <f>IF(tblFLOWOD[[#This Row],[nama_asal]]=tblFLOWOD[[#This Row],[nama_tujuan]],"keluar","isi")</f>
        <v>isi</v>
      </c>
      <c r="I237" s="1" t="str">
        <f>METADATA_SOURCES!$A$2</f>
        <v>SRC001</v>
      </c>
    </row>
    <row r="238" spans="1:9" x14ac:dyDescent="0.3">
      <c r="A238" s="1">
        <v>17</v>
      </c>
      <c r="B238" s="1" t="s">
        <v>48</v>
      </c>
      <c r="C238" s="1">
        <v>91</v>
      </c>
      <c r="D238" s="1" t="s">
        <v>74</v>
      </c>
      <c r="E238" s="8">
        <v>20</v>
      </c>
      <c r="F238" s="1" t="s">
        <v>81</v>
      </c>
      <c r="G238" s="1">
        <v>2020</v>
      </c>
      <c r="H238" s="1" t="str">
        <f>IF(tblFLOWOD[[#This Row],[nama_asal]]=tblFLOWOD[[#This Row],[nama_tujuan]],"keluar","isi")</f>
        <v>isi</v>
      </c>
      <c r="I238" s="1" t="str">
        <f>METADATA_SOURCES!$A$2</f>
        <v>SRC001</v>
      </c>
    </row>
    <row r="239" spans="1:9" x14ac:dyDescent="0.3">
      <c r="A239" s="1">
        <v>17</v>
      </c>
      <c r="B239" s="1" t="s">
        <v>48</v>
      </c>
      <c r="C239" s="1">
        <v>94</v>
      </c>
      <c r="D239" s="1" t="s">
        <v>75</v>
      </c>
      <c r="E239" s="8">
        <v>30</v>
      </c>
      <c r="F239" s="1" t="s">
        <v>81</v>
      </c>
      <c r="G239" s="1">
        <v>2020</v>
      </c>
      <c r="H239" s="1" t="str">
        <f>IF(tblFLOWOD[[#This Row],[nama_asal]]=tblFLOWOD[[#This Row],[nama_tujuan]],"keluar","isi")</f>
        <v>isi</v>
      </c>
      <c r="I239" s="1" t="str">
        <f>METADATA_SOURCES!$A$2</f>
        <v>SRC001</v>
      </c>
    </row>
    <row r="240" spans="1:9" x14ac:dyDescent="0.3">
      <c r="A240" s="1">
        <v>18</v>
      </c>
      <c r="B240" s="1" t="s">
        <v>49</v>
      </c>
      <c r="C240" s="1">
        <v>11</v>
      </c>
      <c r="D240" s="1" t="s">
        <v>42</v>
      </c>
      <c r="E240" s="8">
        <v>390</v>
      </c>
      <c r="F240" s="1" t="s">
        <v>81</v>
      </c>
      <c r="G240" s="1">
        <v>2020</v>
      </c>
      <c r="H240" s="1" t="str">
        <f>IF(tblFLOWOD[[#This Row],[nama_asal]]=tblFLOWOD[[#This Row],[nama_tujuan]],"keluar","isi")</f>
        <v>isi</v>
      </c>
      <c r="I240" s="1" t="str">
        <f>METADATA_SOURCES!$A$2</f>
        <v>SRC001</v>
      </c>
    </row>
    <row r="241" spans="1:9" x14ac:dyDescent="0.3">
      <c r="A241" s="1">
        <v>18</v>
      </c>
      <c r="B241" s="1" t="s">
        <v>49</v>
      </c>
      <c r="C241" s="1">
        <v>12</v>
      </c>
      <c r="D241" s="1" t="s">
        <v>43</v>
      </c>
      <c r="E241" s="8">
        <v>1461</v>
      </c>
      <c r="F241" s="1" t="s">
        <v>81</v>
      </c>
      <c r="G241" s="1">
        <v>2020</v>
      </c>
      <c r="H241" s="1" t="str">
        <f>IF(tblFLOWOD[[#This Row],[nama_asal]]=tblFLOWOD[[#This Row],[nama_tujuan]],"keluar","isi")</f>
        <v>isi</v>
      </c>
      <c r="I241" s="1" t="str">
        <f>METADATA_SOURCES!$A$2</f>
        <v>SRC001</v>
      </c>
    </row>
    <row r="242" spans="1:9" x14ac:dyDescent="0.3">
      <c r="A242" s="1">
        <v>18</v>
      </c>
      <c r="B242" s="1" t="s">
        <v>49</v>
      </c>
      <c r="C242" s="1">
        <v>13</v>
      </c>
      <c r="D242" s="1" t="s">
        <v>44</v>
      </c>
      <c r="E242" s="8">
        <v>3646</v>
      </c>
      <c r="F242" s="1" t="s">
        <v>81</v>
      </c>
      <c r="G242" s="1">
        <v>2020</v>
      </c>
      <c r="H242" s="1" t="str">
        <f>IF(tblFLOWOD[[#This Row],[nama_asal]]=tblFLOWOD[[#This Row],[nama_tujuan]],"keluar","isi")</f>
        <v>isi</v>
      </c>
      <c r="I242" s="1" t="str">
        <f>METADATA_SOURCES!$A$2</f>
        <v>SRC001</v>
      </c>
    </row>
    <row r="243" spans="1:9" x14ac:dyDescent="0.3">
      <c r="A243" s="1">
        <v>18</v>
      </c>
      <c r="B243" s="1" t="s">
        <v>49</v>
      </c>
      <c r="C243" s="1">
        <v>14</v>
      </c>
      <c r="D243" s="1" t="s">
        <v>45</v>
      </c>
      <c r="E243" s="8">
        <v>2569</v>
      </c>
      <c r="F243" s="1" t="s">
        <v>81</v>
      </c>
      <c r="G243" s="1">
        <v>2020</v>
      </c>
      <c r="H243" s="1" t="str">
        <f>IF(tblFLOWOD[[#This Row],[nama_asal]]=tblFLOWOD[[#This Row],[nama_tujuan]],"keluar","isi")</f>
        <v>isi</v>
      </c>
      <c r="I243" s="1" t="str">
        <f>METADATA_SOURCES!$A$2</f>
        <v>SRC001</v>
      </c>
    </row>
    <row r="244" spans="1:9" x14ac:dyDescent="0.3">
      <c r="A244" s="1">
        <v>18</v>
      </c>
      <c r="B244" s="1" t="s">
        <v>49</v>
      </c>
      <c r="C244" s="1">
        <v>15</v>
      </c>
      <c r="D244" s="1" t="s">
        <v>46</v>
      </c>
      <c r="E244" s="8">
        <v>2875</v>
      </c>
      <c r="F244" s="1" t="s">
        <v>81</v>
      </c>
      <c r="G244" s="1">
        <v>2020</v>
      </c>
      <c r="H244" s="1" t="str">
        <f>IF(tblFLOWOD[[#This Row],[nama_asal]]=tblFLOWOD[[#This Row],[nama_tujuan]],"keluar","isi")</f>
        <v>isi</v>
      </c>
      <c r="I244" s="1" t="str">
        <f>METADATA_SOURCES!$A$2</f>
        <v>SRC001</v>
      </c>
    </row>
    <row r="245" spans="1:9" x14ac:dyDescent="0.3">
      <c r="A245" s="1">
        <v>18</v>
      </c>
      <c r="B245" s="1" t="s">
        <v>49</v>
      </c>
      <c r="C245" s="1">
        <v>16</v>
      </c>
      <c r="D245" s="1" t="s">
        <v>47</v>
      </c>
      <c r="E245" s="8">
        <v>19987</v>
      </c>
      <c r="F245" s="1" t="s">
        <v>81</v>
      </c>
      <c r="G245" s="1">
        <v>2020</v>
      </c>
      <c r="H245" s="1" t="str">
        <f>IF(tblFLOWOD[[#This Row],[nama_asal]]=tblFLOWOD[[#This Row],[nama_tujuan]],"keluar","isi")</f>
        <v>isi</v>
      </c>
      <c r="I245" s="1" t="str">
        <f>METADATA_SOURCES!$A$2</f>
        <v>SRC001</v>
      </c>
    </row>
    <row r="246" spans="1:9" x14ac:dyDescent="0.3">
      <c r="A246" s="1">
        <v>18</v>
      </c>
      <c r="B246" s="1" t="s">
        <v>49</v>
      </c>
      <c r="C246" s="1">
        <v>17</v>
      </c>
      <c r="D246" s="1" t="s">
        <v>48</v>
      </c>
      <c r="E246" s="8">
        <v>3466</v>
      </c>
      <c r="F246" s="1" t="s">
        <v>81</v>
      </c>
      <c r="G246" s="1">
        <v>2020</v>
      </c>
      <c r="H246" s="1" t="str">
        <f>IF(tblFLOWOD[[#This Row],[nama_asal]]=tblFLOWOD[[#This Row],[nama_tujuan]],"keluar","isi")</f>
        <v>isi</v>
      </c>
      <c r="I246" s="1" t="str">
        <f>METADATA_SOURCES!$A$2</f>
        <v>SRC001</v>
      </c>
    </row>
    <row r="247" spans="1:9" x14ac:dyDescent="0.3">
      <c r="A247" s="1">
        <v>18</v>
      </c>
      <c r="B247" s="1" t="s">
        <v>49</v>
      </c>
      <c r="C247" s="1">
        <v>18</v>
      </c>
      <c r="D247" s="1" t="s">
        <v>49</v>
      </c>
      <c r="E247" s="8">
        <v>8282004</v>
      </c>
      <c r="F247" s="1" t="s">
        <v>81</v>
      </c>
      <c r="G247" s="1">
        <v>2020</v>
      </c>
      <c r="H247" s="1" t="str">
        <f>IF(tblFLOWOD[[#This Row],[nama_asal]]=tblFLOWOD[[#This Row],[nama_tujuan]],"keluar","isi")</f>
        <v>keluar</v>
      </c>
      <c r="I247" s="1" t="str">
        <f>METADATA_SOURCES!$A$2</f>
        <v>SRC001</v>
      </c>
    </row>
    <row r="248" spans="1:9" x14ac:dyDescent="0.3">
      <c r="A248" s="1">
        <v>18</v>
      </c>
      <c r="B248" s="1" t="s">
        <v>49</v>
      </c>
      <c r="C248" s="1">
        <v>19</v>
      </c>
      <c r="D248" s="1" t="s">
        <v>50</v>
      </c>
      <c r="E248" s="8">
        <v>3030</v>
      </c>
      <c r="F248" s="1" t="s">
        <v>81</v>
      </c>
      <c r="G248" s="1">
        <v>2020</v>
      </c>
      <c r="H248" s="1" t="str">
        <f>IF(tblFLOWOD[[#This Row],[nama_asal]]=tblFLOWOD[[#This Row],[nama_tujuan]],"keluar","isi")</f>
        <v>isi</v>
      </c>
      <c r="I248" s="1" t="str">
        <f>METADATA_SOURCES!$A$2</f>
        <v>SRC001</v>
      </c>
    </row>
    <row r="249" spans="1:9" x14ac:dyDescent="0.3">
      <c r="A249" s="1">
        <v>18</v>
      </c>
      <c r="B249" s="1" t="s">
        <v>49</v>
      </c>
      <c r="C249" s="1">
        <v>21</v>
      </c>
      <c r="D249" s="1" t="s">
        <v>51</v>
      </c>
      <c r="E249" s="8">
        <v>2422</v>
      </c>
      <c r="F249" s="1" t="s">
        <v>81</v>
      </c>
      <c r="G249" s="1">
        <v>2020</v>
      </c>
      <c r="H249" s="1" t="str">
        <f>IF(tblFLOWOD[[#This Row],[nama_asal]]=tblFLOWOD[[#This Row],[nama_tujuan]],"keluar","isi")</f>
        <v>isi</v>
      </c>
      <c r="I249" s="1" t="str">
        <f>METADATA_SOURCES!$A$2</f>
        <v>SRC001</v>
      </c>
    </row>
    <row r="250" spans="1:9" x14ac:dyDescent="0.3">
      <c r="A250" s="1">
        <v>18</v>
      </c>
      <c r="B250" s="1" t="s">
        <v>49</v>
      </c>
      <c r="C250" s="1">
        <v>31</v>
      </c>
      <c r="D250" s="1" t="s">
        <v>52</v>
      </c>
      <c r="E250" s="8">
        <v>6189</v>
      </c>
      <c r="F250" s="1" t="s">
        <v>81</v>
      </c>
      <c r="G250" s="1">
        <v>2020</v>
      </c>
      <c r="H250" s="1" t="str">
        <f>IF(tblFLOWOD[[#This Row],[nama_asal]]=tblFLOWOD[[#This Row],[nama_tujuan]],"keluar","isi")</f>
        <v>isi</v>
      </c>
      <c r="I250" s="1" t="str">
        <f>METADATA_SOURCES!$A$2</f>
        <v>SRC001</v>
      </c>
    </row>
    <row r="251" spans="1:9" x14ac:dyDescent="0.3">
      <c r="A251" s="1">
        <v>18</v>
      </c>
      <c r="B251" s="1" t="s">
        <v>49</v>
      </c>
      <c r="C251" s="1">
        <v>32</v>
      </c>
      <c r="D251" s="1" t="s">
        <v>53</v>
      </c>
      <c r="E251" s="8">
        <v>15702</v>
      </c>
      <c r="F251" s="1" t="s">
        <v>81</v>
      </c>
      <c r="G251" s="1">
        <v>2020</v>
      </c>
      <c r="H251" s="1" t="str">
        <f>IF(tblFLOWOD[[#This Row],[nama_asal]]=tblFLOWOD[[#This Row],[nama_tujuan]],"keluar","isi")</f>
        <v>isi</v>
      </c>
      <c r="I251" s="1" t="str">
        <f>METADATA_SOURCES!$A$2</f>
        <v>SRC001</v>
      </c>
    </row>
    <row r="252" spans="1:9" x14ac:dyDescent="0.3">
      <c r="A252" s="1">
        <v>18</v>
      </c>
      <c r="B252" s="1" t="s">
        <v>49</v>
      </c>
      <c r="C252" s="1">
        <v>33</v>
      </c>
      <c r="D252" s="1" t="s">
        <v>54</v>
      </c>
      <c r="E252" s="8">
        <v>12986</v>
      </c>
      <c r="F252" s="1" t="s">
        <v>81</v>
      </c>
      <c r="G252" s="1">
        <v>2020</v>
      </c>
      <c r="H252" s="1" t="str">
        <f>IF(tblFLOWOD[[#This Row],[nama_asal]]=tblFLOWOD[[#This Row],[nama_tujuan]],"keluar","isi")</f>
        <v>isi</v>
      </c>
      <c r="I252" s="1" t="str">
        <f>METADATA_SOURCES!$A$2</f>
        <v>SRC001</v>
      </c>
    </row>
    <row r="253" spans="1:9" x14ac:dyDescent="0.3">
      <c r="A253" s="1">
        <v>18</v>
      </c>
      <c r="B253" s="1" t="s">
        <v>49</v>
      </c>
      <c r="C253" s="1">
        <v>34</v>
      </c>
      <c r="D253" s="1" t="s">
        <v>55</v>
      </c>
      <c r="E253" s="8">
        <v>4361</v>
      </c>
      <c r="F253" s="1" t="s">
        <v>81</v>
      </c>
      <c r="G253" s="1">
        <v>2020</v>
      </c>
      <c r="H253" s="1" t="str">
        <f>IF(tblFLOWOD[[#This Row],[nama_asal]]=tblFLOWOD[[#This Row],[nama_tujuan]],"keluar","isi")</f>
        <v>isi</v>
      </c>
      <c r="I253" s="1" t="str">
        <f>METADATA_SOURCES!$A$2</f>
        <v>SRC001</v>
      </c>
    </row>
    <row r="254" spans="1:9" x14ac:dyDescent="0.3">
      <c r="A254" s="1">
        <v>18</v>
      </c>
      <c r="B254" s="1" t="s">
        <v>49</v>
      </c>
      <c r="C254" s="1">
        <v>35</v>
      </c>
      <c r="D254" s="1" t="s">
        <v>56</v>
      </c>
      <c r="E254" s="8">
        <v>5596</v>
      </c>
      <c r="F254" s="1" t="s">
        <v>81</v>
      </c>
      <c r="G254" s="1">
        <v>2020</v>
      </c>
      <c r="H254" s="1" t="str">
        <f>IF(tblFLOWOD[[#This Row],[nama_asal]]=tblFLOWOD[[#This Row],[nama_tujuan]],"keluar","isi")</f>
        <v>isi</v>
      </c>
      <c r="I254" s="1" t="str">
        <f>METADATA_SOURCES!$A$2</f>
        <v>SRC001</v>
      </c>
    </row>
    <row r="255" spans="1:9" x14ac:dyDescent="0.3">
      <c r="A255" s="1">
        <v>18</v>
      </c>
      <c r="B255" s="1" t="s">
        <v>49</v>
      </c>
      <c r="C255" s="1">
        <v>36</v>
      </c>
      <c r="D255" s="1" t="s">
        <v>57</v>
      </c>
      <c r="E255" s="8">
        <v>11927</v>
      </c>
      <c r="F255" s="1" t="s">
        <v>81</v>
      </c>
      <c r="G255" s="1">
        <v>2020</v>
      </c>
      <c r="H255" s="1" t="str">
        <f>IF(tblFLOWOD[[#This Row],[nama_asal]]=tblFLOWOD[[#This Row],[nama_tujuan]],"keluar","isi")</f>
        <v>isi</v>
      </c>
      <c r="I255" s="1" t="str">
        <f>METADATA_SOURCES!$A$2</f>
        <v>SRC001</v>
      </c>
    </row>
    <row r="256" spans="1:9" x14ac:dyDescent="0.3">
      <c r="A256" s="1">
        <v>18</v>
      </c>
      <c r="B256" s="1" t="s">
        <v>49</v>
      </c>
      <c r="C256" s="1">
        <v>51</v>
      </c>
      <c r="D256" s="1" t="s">
        <v>58</v>
      </c>
      <c r="E256" s="8">
        <v>1275</v>
      </c>
      <c r="F256" s="1" t="s">
        <v>81</v>
      </c>
      <c r="G256" s="1">
        <v>2020</v>
      </c>
      <c r="H256" s="1" t="str">
        <f>IF(tblFLOWOD[[#This Row],[nama_asal]]=tblFLOWOD[[#This Row],[nama_tujuan]],"keluar","isi")</f>
        <v>isi</v>
      </c>
      <c r="I256" s="1" t="str">
        <f>METADATA_SOURCES!$A$2</f>
        <v>SRC001</v>
      </c>
    </row>
    <row r="257" spans="1:9" x14ac:dyDescent="0.3">
      <c r="A257" s="1">
        <v>18</v>
      </c>
      <c r="B257" s="1" t="s">
        <v>49</v>
      </c>
      <c r="C257" s="1">
        <v>52</v>
      </c>
      <c r="D257" s="1" t="s">
        <v>59</v>
      </c>
      <c r="E257" s="8">
        <v>302</v>
      </c>
      <c r="F257" s="1" t="s">
        <v>81</v>
      </c>
      <c r="G257" s="1">
        <v>2020</v>
      </c>
      <c r="H257" s="1" t="str">
        <f>IF(tblFLOWOD[[#This Row],[nama_asal]]=tblFLOWOD[[#This Row],[nama_tujuan]],"keluar","isi")</f>
        <v>isi</v>
      </c>
      <c r="I257" s="1" t="str">
        <f>METADATA_SOURCES!$A$2</f>
        <v>SRC001</v>
      </c>
    </row>
    <row r="258" spans="1:9" x14ac:dyDescent="0.3">
      <c r="A258" s="1">
        <v>18</v>
      </c>
      <c r="B258" s="1" t="s">
        <v>49</v>
      </c>
      <c r="C258" s="1">
        <v>53</v>
      </c>
      <c r="D258" s="1" t="s">
        <v>60</v>
      </c>
      <c r="E258" s="8">
        <v>345</v>
      </c>
      <c r="F258" s="1" t="s">
        <v>81</v>
      </c>
      <c r="G258" s="1">
        <v>2020</v>
      </c>
      <c r="H258" s="1" t="str">
        <f>IF(tblFLOWOD[[#This Row],[nama_asal]]=tblFLOWOD[[#This Row],[nama_tujuan]],"keluar","isi")</f>
        <v>isi</v>
      </c>
      <c r="I258" s="1" t="str">
        <f>METADATA_SOURCES!$A$2</f>
        <v>SRC001</v>
      </c>
    </row>
    <row r="259" spans="1:9" x14ac:dyDescent="0.3">
      <c r="A259" s="1">
        <v>18</v>
      </c>
      <c r="B259" s="1" t="s">
        <v>49</v>
      </c>
      <c r="C259" s="1">
        <v>61</v>
      </c>
      <c r="D259" s="1" t="s">
        <v>61</v>
      </c>
      <c r="E259" s="8">
        <v>875</v>
      </c>
      <c r="F259" s="1" t="s">
        <v>81</v>
      </c>
      <c r="G259" s="1">
        <v>2020</v>
      </c>
      <c r="H259" s="1" t="str">
        <f>IF(tblFLOWOD[[#This Row],[nama_asal]]=tblFLOWOD[[#This Row],[nama_tujuan]],"keluar","isi")</f>
        <v>isi</v>
      </c>
      <c r="I259" s="1" t="str">
        <f>METADATA_SOURCES!$A$2</f>
        <v>SRC001</v>
      </c>
    </row>
    <row r="260" spans="1:9" x14ac:dyDescent="0.3">
      <c r="A260" s="1">
        <v>18</v>
      </c>
      <c r="B260" s="1" t="s">
        <v>49</v>
      </c>
      <c r="C260" s="1">
        <v>62</v>
      </c>
      <c r="D260" s="1" t="s">
        <v>62</v>
      </c>
      <c r="E260" s="8">
        <v>1344</v>
      </c>
      <c r="F260" s="1" t="s">
        <v>81</v>
      </c>
      <c r="G260" s="1">
        <v>2020</v>
      </c>
      <c r="H260" s="1" t="str">
        <f>IF(tblFLOWOD[[#This Row],[nama_asal]]=tblFLOWOD[[#This Row],[nama_tujuan]],"keluar","isi")</f>
        <v>isi</v>
      </c>
      <c r="I260" s="1" t="str">
        <f>METADATA_SOURCES!$A$2</f>
        <v>SRC001</v>
      </c>
    </row>
    <row r="261" spans="1:9" x14ac:dyDescent="0.3">
      <c r="A261" s="1">
        <v>18</v>
      </c>
      <c r="B261" s="1" t="s">
        <v>49</v>
      </c>
      <c r="C261" s="1">
        <v>63</v>
      </c>
      <c r="D261" s="1" t="s">
        <v>63</v>
      </c>
      <c r="E261" s="8">
        <v>229</v>
      </c>
      <c r="F261" s="1" t="s">
        <v>81</v>
      </c>
      <c r="G261" s="1">
        <v>2020</v>
      </c>
      <c r="H261" s="1" t="str">
        <f>IF(tblFLOWOD[[#This Row],[nama_asal]]=tblFLOWOD[[#This Row],[nama_tujuan]],"keluar","isi")</f>
        <v>isi</v>
      </c>
      <c r="I261" s="1" t="str">
        <f>METADATA_SOURCES!$A$2</f>
        <v>SRC001</v>
      </c>
    </row>
    <row r="262" spans="1:9" x14ac:dyDescent="0.3">
      <c r="A262" s="1">
        <v>18</v>
      </c>
      <c r="B262" s="1" t="s">
        <v>49</v>
      </c>
      <c r="C262" s="1">
        <v>64</v>
      </c>
      <c r="D262" s="1" t="s">
        <v>64</v>
      </c>
      <c r="E262" s="8">
        <v>1366</v>
      </c>
      <c r="F262" s="1" t="s">
        <v>81</v>
      </c>
      <c r="G262" s="1">
        <v>2020</v>
      </c>
      <c r="H262" s="1" t="str">
        <f>IF(tblFLOWOD[[#This Row],[nama_asal]]=tblFLOWOD[[#This Row],[nama_tujuan]],"keluar","isi")</f>
        <v>isi</v>
      </c>
      <c r="I262" s="1" t="str">
        <f>METADATA_SOURCES!$A$2</f>
        <v>SRC001</v>
      </c>
    </row>
    <row r="263" spans="1:9" x14ac:dyDescent="0.3">
      <c r="A263" s="1">
        <v>18</v>
      </c>
      <c r="B263" s="1" t="s">
        <v>49</v>
      </c>
      <c r="C263" s="1">
        <v>65</v>
      </c>
      <c r="D263" s="1" t="s">
        <v>65</v>
      </c>
      <c r="E263" s="8">
        <v>127</v>
      </c>
      <c r="F263" s="1" t="s">
        <v>81</v>
      </c>
      <c r="G263" s="1">
        <v>2020</v>
      </c>
      <c r="H263" s="1" t="str">
        <f>IF(tblFLOWOD[[#This Row],[nama_asal]]=tblFLOWOD[[#This Row],[nama_tujuan]],"keluar","isi")</f>
        <v>isi</v>
      </c>
      <c r="I263" s="1" t="str">
        <f>METADATA_SOURCES!$A$2</f>
        <v>SRC001</v>
      </c>
    </row>
    <row r="264" spans="1:9" x14ac:dyDescent="0.3">
      <c r="A264" s="1">
        <v>18</v>
      </c>
      <c r="B264" s="1" t="s">
        <v>49</v>
      </c>
      <c r="C264" s="1">
        <v>71</v>
      </c>
      <c r="D264" s="1" t="s">
        <v>66</v>
      </c>
      <c r="E264" s="8">
        <v>21</v>
      </c>
      <c r="F264" s="1" t="s">
        <v>81</v>
      </c>
      <c r="G264" s="1">
        <v>2020</v>
      </c>
      <c r="H264" s="1" t="str">
        <f>IF(tblFLOWOD[[#This Row],[nama_asal]]=tblFLOWOD[[#This Row],[nama_tujuan]],"keluar","isi")</f>
        <v>isi</v>
      </c>
      <c r="I264" s="1" t="str">
        <f>METADATA_SOURCES!$A$2</f>
        <v>SRC001</v>
      </c>
    </row>
    <row r="265" spans="1:9" x14ac:dyDescent="0.3">
      <c r="A265" s="1">
        <v>18</v>
      </c>
      <c r="B265" s="1" t="s">
        <v>49</v>
      </c>
      <c r="C265" s="1">
        <v>72</v>
      </c>
      <c r="D265" s="1" t="s">
        <v>67</v>
      </c>
      <c r="E265" s="8">
        <v>74</v>
      </c>
      <c r="F265" s="1" t="s">
        <v>81</v>
      </c>
      <c r="G265" s="1">
        <v>2020</v>
      </c>
      <c r="H265" s="1" t="str">
        <f>IF(tblFLOWOD[[#This Row],[nama_asal]]=tblFLOWOD[[#This Row],[nama_tujuan]],"keluar","isi")</f>
        <v>isi</v>
      </c>
      <c r="I265" s="1" t="str">
        <f>METADATA_SOURCES!$A$2</f>
        <v>SRC001</v>
      </c>
    </row>
    <row r="266" spans="1:9" x14ac:dyDescent="0.3">
      <c r="A266" s="1">
        <v>18</v>
      </c>
      <c r="B266" s="1" t="s">
        <v>49</v>
      </c>
      <c r="C266" s="1">
        <v>73</v>
      </c>
      <c r="D266" s="1" t="s">
        <v>68</v>
      </c>
      <c r="E266" s="8">
        <v>267</v>
      </c>
      <c r="F266" s="1" t="s">
        <v>81</v>
      </c>
      <c r="G266" s="1">
        <v>2020</v>
      </c>
      <c r="H266" s="1" t="str">
        <f>IF(tblFLOWOD[[#This Row],[nama_asal]]=tblFLOWOD[[#This Row],[nama_tujuan]],"keluar","isi")</f>
        <v>isi</v>
      </c>
      <c r="I266" s="1" t="str">
        <f>METADATA_SOURCES!$A$2</f>
        <v>SRC001</v>
      </c>
    </row>
    <row r="267" spans="1:9" x14ac:dyDescent="0.3">
      <c r="A267" s="1">
        <v>18</v>
      </c>
      <c r="B267" s="1" t="s">
        <v>49</v>
      </c>
      <c r="C267" s="1">
        <v>74</v>
      </c>
      <c r="D267" s="1" t="s">
        <v>69</v>
      </c>
      <c r="E267" s="8">
        <v>237</v>
      </c>
      <c r="F267" s="1" t="s">
        <v>81</v>
      </c>
      <c r="G267" s="1">
        <v>2020</v>
      </c>
      <c r="H267" s="1" t="str">
        <f>IF(tblFLOWOD[[#This Row],[nama_asal]]=tblFLOWOD[[#This Row],[nama_tujuan]],"keluar","isi")</f>
        <v>isi</v>
      </c>
      <c r="I267" s="1" t="str">
        <f>METADATA_SOURCES!$A$2</f>
        <v>SRC001</v>
      </c>
    </row>
    <row r="268" spans="1:9" x14ac:dyDescent="0.3">
      <c r="A268" s="1">
        <v>18</v>
      </c>
      <c r="B268" s="1" t="s">
        <v>49</v>
      </c>
      <c r="C268" s="1">
        <v>75</v>
      </c>
      <c r="D268" s="1" t="s">
        <v>70</v>
      </c>
      <c r="E268" s="8">
        <v>89</v>
      </c>
      <c r="F268" s="1" t="s">
        <v>81</v>
      </c>
      <c r="G268" s="1">
        <v>2020</v>
      </c>
      <c r="H268" s="1" t="str">
        <f>IF(tblFLOWOD[[#This Row],[nama_asal]]=tblFLOWOD[[#This Row],[nama_tujuan]],"keluar","isi")</f>
        <v>isi</v>
      </c>
      <c r="I268" s="1" t="str">
        <f>METADATA_SOURCES!$A$2</f>
        <v>SRC001</v>
      </c>
    </row>
    <row r="269" spans="1:9" x14ac:dyDescent="0.3">
      <c r="A269" s="1">
        <v>18</v>
      </c>
      <c r="B269" s="1" t="s">
        <v>49</v>
      </c>
      <c r="C269" s="1">
        <v>76</v>
      </c>
      <c r="D269" s="1" t="s">
        <v>71</v>
      </c>
      <c r="E269" s="8">
        <v>38</v>
      </c>
      <c r="F269" s="1" t="s">
        <v>81</v>
      </c>
      <c r="G269" s="1">
        <v>2020</v>
      </c>
      <c r="H269" s="1" t="str">
        <f>IF(tblFLOWOD[[#This Row],[nama_asal]]=tblFLOWOD[[#This Row],[nama_tujuan]],"keluar","isi")</f>
        <v>isi</v>
      </c>
      <c r="I269" s="1" t="str">
        <f>METADATA_SOURCES!$A$2</f>
        <v>SRC001</v>
      </c>
    </row>
    <row r="270" spans="1:9" x14ac:dyDescent="0.3">
      <c r="A270" s="1">
        <v>18</v>
      </c>
      <c r="B270" s="1" t="s">
        <v>49</v>
      </c>
      <c r="C270" s="1">
        <v>81</v>
      </c>
      <c r="D270" s="1" t="s">
        <v>72</v>
      </c>
      <c r="E270" s="8">
        <v>154</v>
      </c>
      <c r="F270" s="1" t="s">
        <v>81</v>
      </c>
      <c r="G270" s="1">
        <v>2020</v>
      </c>
      <c r="H270" s="1" t="str">
        <f>IF(tblFLOWOD[[#This Row],[nama_asal]]=tblFLOWOD[[#This Row],[nama_tujuan]],"keluar","isi")</f>
        <v>isi</v>
      </c>
      <c r="I270" s="1" t="str">
        <f>METADATA_SOURCES!$A$2</f>
        <v>SRC001</v>
      </c>
    </row>
    <row r="271" spans="1:9" x14ac:dyDescent="0.3">
      <c r="A271" s="1">
        <v>18</v>
      </c>
      <c r="B271" s="1" t="s">
        <v>49</v>
      </c>
      <c r="C271" s="1">
        <v>82</v>
      </c>
      <c r="D271" s="1" t="s">
        <v>73</v>
      </c>
      <c r="E271" s="8">
        <v>0</v>
      </c>
      <c r="F271" s="1" t="s">
        <v>81</v>
      </c>
      <c r="G271" s="1">
        <v>2020</v>
      </c>
      <c r="H271" s="1" t="str">
        <f>IF(tblFLOWOD[[#This Row],[nama_asal]]=tblFLOWOD[[#This Row],[nama_tujuan]],"keluar","isi")</f>
        <v>isi</v>
      </c>
      <c r="I271" s="1" t="str">
        <f>METADATA_SOURCES!$A$2</f>
        <v>SRC001</v>
      </c>
    </row>
    <row r="272" spans="1:9" x14ac:dyDescent="0.3">
      <c r="A272" s="1">
        <v>18</v>
      </c>
      <c r="B272" s="1" t="s">
        <v>49</v>
      </c>
      <c r="C272" s="1">
        <v>91</v>
      </c>
      <c r="D272" s="1" t="s">
        <v>74</v>
      </c>
      <c r="E272" s="8">
        <v>126</v>
      </c>
      <c r="F272" s="1" t="s">
        <v>81</v>
      </c>
      <c r="G272" s="1">
        <v>2020</v>
      </c>
      <c r="H272" s="1" t="str">
        <f>IF(tblFLOWOD[[#This Row],[nama_asal]]=tblFLOWOD[[#This Row],[nama_tujuan]],"keluar","isi")</f>
        <v>isi</v>
      </c>
      <c r="I272" s="1" t="str">
        <f>METADATA_SOURCES!$A$2</f>
        <v>SRC001</v>
      </c>
    </row>
    <row r="273" spans="1:9" x14ac:dyDescent="0.3">
      <c r="A273" s="1">
        <v>18</v>
      </c>
      <c r="B273" s="1" t="s">
        <v>49</v>
      </c>
      <c r="C273" s="1">
        <v>94</v>
      </c>
      <c r="D273" s="1" t="s">
        <v>75</v>
      </c>
      <c r="E273" s="8">
        <v>334</v>
      </c>
      <c r="F273" s="1" t="s">
        <v>81</v>
      </c>
      <c r="G273" s="1">
        <v>2020</v>
      </c>
      <c r="H273" s="1" t="str">
        <f>IF(tblFLOWOD[[#This Row],[nama_asal]]=tblFLOWOD[[#This Row],[nama_tujuan]],"keluar","isi")</f>
        <v>isi</v>
      </c>
      <c r="I273" s="1" t="str">
        <f>METADATA_SOURCES!$A$2</f>
        <v>SRC001</v>
      </c>
    </row>
    <row r="274" spans="1:9" x14ac:dyDescent="0.3">
      <c r="A274" s="1">
        <v>19</v>
      </c>
      <c r="B274" s="1" t="s">
        <v>50</v>
      </c>
      <c r="C274" s="1">
        <v>11</v>
      </c>
      <c r="D274" s="1" t="s">
        <v>42</v>
      </c>
      <c r="E274" s="8">
        <v>34</v>
      </c>
      <c r="F274" s="1" t="s">
        <v>81</v>
      </c>
      <c r="G274" s="1">
        <v>2020</v>
      </c>
      <c r="H274" s="1" t="str">
        <f>IF(tblFLOWOD[[#This Row],[nama_asal]]=tblFLOWOD[[#This Row],[nama_tujuan]],"keluar","isi")</f>
        <v>isi</v>
      </c>
      <c r="I274" s="1" t="str">
        <f>METADATA_SOURCES!$A$2</f>
        <v>SRC001</v>
      </c>
    </row>
    <row r="275" spans="1:9" x14ac:dyDescent="0.3">
      <c r="A275" s="1">
        <v>19</v>
      </c>
      <c r="B275" s="1" t="s">
        <v>50</v>
      </c>
      <c r="C275" s="1">
        <v>12</v>
      </c>
      <c r="D275" s="1" t="s">
        <v>43</v>
      </c>
      <c r="E275" s="8">
        <v>345</v>
      </c>
      <c r="F275" s="1" t="s">
        <v>81</v>
      </c>
      <c r="G275" s="1">
        <v>2020</v>
      </c>
      <c r="H275" s="1" t="str">
        <f>IF(tblFLOWOD[[#This Row],[nama_asal]]=tblFLOWOD[[#This Row],[nama_tujuan]],"keluar","isi")</f>
        <v>isi</v>
      </c>
      <c r="I275" s="1" t="str">
        <f>METADATA_SOURCES!$A$2</f>
        <v>SRC001</v>
      </c>
    </row>
    <row r="276" spans="1:9" x14ac:dyDescent="0.3">
      <c r="A276" s="1">
        <v>19</v>
      </c>
      <c r="B276" s="1" t="s">
        <v>50</v>
      </c>
      <c r="C276" s="1">
        <v>13</v>
      </c>
      <c r="D276" s="1" t="s">
        <v>44</v>
      </c>
      <c r="E276" s="8">
        <v>461</v>
      </c>
      <c r="F276" s="1" t="s">
        <v>81</v>
      </c>
      <c r="G276" s="1">
        <v>2020</v>
      </c>
      <c r="H276" s="1" t="str">
        <f>IF(tblFLOWOD[[#This Row],[nama_asal]]=tblFLOWOD[[#This Row],[nama_tujuan]],"keluar","isi")</f>
        <v>isi</v>
      </c>
      <c r="I276" s="1" t="str">
        <f>METADATA_SOURCES!$A$2</f>
        <v>SRC001</v>
      </c>
    </row>
    <row r="277" spans="1:9" x14ac:dyDescent="0.3">
      <c r="A277" s="1">
        <v>19</v>
      </c>
      <c r="B277" s="1" t="s">
        <v>50</v>
      </c>
      <c r="C277" s="1">
        <v>14</v>
      </c>
      <c r="D277" s="1" t="s">
        <v>45</v>
      </c>
      <c r="E277" s="8">
        <v>35</v>
      </c>
      <c r="F277" s="1" t="s">
        <v>81</v>
      </c>
      <c r="G277" s="1">
        <v>2020</v>
      </c>
      <c r="H277" s="1" t="str">
        <f>IF(tblFLOWOD[[#This Row],[nama_asal]]=tblFLOWOD[[#This Row],[nama_tujuan]],"keluar","isi")</f>
        <v>isi</v>
      </c>
      <c r="I277" s="1" t="str">
        <f>METADATA_SOURCES!$A$2</f>
        <v>SRC001</v>
      </c>
    </row>
    <row r="278" spans="1:9" x14ac:dyDescent="0.3">
      <c r="A278" s="1">
        <v>19</v>
      </c>
      <c r="B278" s="1" t="s">
        <v>50</v>
      </c>
      <c r="C278" s="1">
        <v>15</v>
      </c>
      <c r="D278" s="1" t="s">
        <v>46</v>
      </c>
      <c r="E278" s="8">
        <v>266</v>
      </c>
      <c r="F278" s="1" t="s">
        <v>81</v>
      </c>
      <c r="G278" s="1">
        <v>2020</v>
      </c>
      <c r="H278" s="1" t="str">
        <f>IF(tblFLOWOD[[#This Row],[nama_asal]]=tblFLOWOD[[#This Row],[nama_tujuan]],"keluar","isi")</f>
        <v>isi</v>
      </c>
      <c r="I278" s="1" t="str">
        <f>METADATA_SOURCES!$A$2</f>
        <v>SRC001</v>
      </c>
    </row>
    <row r="279" spans="1:9" x14ac:dyDescent="0.3">
      <c r="A279" s="1">
        <v>19</v>
      </c>
      <c r="B279" s="1" t="s">
        <v>50</v>
      </c>
      <c r="C279" s="1">
        <v>16</v>
      </c>
      <c r="D279" s="1" t="s">
        <v>47</v>
      </c>
      <c r="E279" s="8">
        <v>2641</v>
      </c>
      <c r="F279" s="1" t="s">
        <v>81</v>
      </c>
      <c r="G279" s="1">
        <v>2020</v>
      </c>
      <c r="H279" s="1" t="str">
        <f>IF(tblFLOWOD[[#This Row],[nama_asal]]=tblFLOWOD[[#This Row],[nama_tujuan]],"keluar","isi")</f>
        <v>isi</v>
      </c>
      <c r="I279" s="1" t="str">
        <f>METADATA_SOURCES!$A$2</f>
        <v>SRC001</v>
      </c>
    </row>
    <row r="280" spans="1:9" x14ac:dyDescent="0.3">
      <c r="A280" s="1">
        <v>19</v>
      </c>
      <c r="B280" s="1" t="s">
        <v>50</v>
      </c>
      <c r="C280" s="1">
        <v>17</v>
      </c>
      <c r="D280" s="1" t="s">
        <v>48</v>
      </c>
      <c r="E280" s="8">
        <v>281</v>
      </c>
      <c r="F280" s="1" t="s">
        <v>81</v>
      </c>
      <c r="G280" s="1">
        <v>2020</v>
      </c>
      <c r="H280" s="1" t="str">
        <f>IF(tblFLOWOD[[#This Row],[nama_asal]]=tblFLOWOD[[#This Row],[nama_tujuan]],"keluar","isi")</f>
        <v>isi</v>
      </c>
      <c r="I280" s="1" t="str">
        <f>METADATA_SOURCES!$A$2</f>
        <v>SRC001</v>
      </c>
    </row>
    <row r="281" spans="1:9" x14ac:dyDescent="0.3">
      <c r="A281" s="1">
        <v>19</v>
      </c>
      <c r="B281" s="1" t="s">
        <v>50</v>
      </c>
      <c r="C281" s="1">
        <v>18</v>
      </c>
      <c r="D281" s="1" t="s">
        <v>49</v>
      </c>
      <c r="E281" s="8">
        <v>2306</v>
      </c>
      <c r="F281" s="1" t="s">
        <v>81</v>
      </c>
      <c r="G281" s="1">
        <v>2020</v>
      </c>
      <c r="H281" s="1" t="str">
        <f>IF(tblFLOWOD[[#This Row],[nama_asal]]=tblFLOWOD[[#This Row],[nama_tujuan]],"keluar","isi")</f>
        <v>isi</v>
      </c>
      <c r="I281" s="1" t="str">
        <f>METADATA_SOURCES!$A$2</f>
        <v>SRC001</v>
      </c>
    </row>
    <row r="282" spans="1:9" x14ac:dyDescent="0.3">
      <c r="A282" s="1">
        <v>19</v>
      </c>
      <c r="B282" s="1" t="s">
        <v>50</v>
      </c>
      <c r="C282" s="1">
        <v>19</v>
      </c>
      <c r="D282" s="1" t="s">
        <v>50</v>
      </c>
      <c r="E282" s="8">
        <v>1340714</v>
      </c>
      <c r="F282" s="1" t="s">
        <v>81</v>
      </c>
      <c r="G282" s="1">
        <v>2020</v>
      </c>
      <c r="H282" s="1" t="str">
        <f>IF(tblFLOWOD[[#This Row],[nama_asal]]=tblFLOWOD[[#This Row],[nama_tujuan]],"keluar","isi")</f>
        <v>keluar</v>
      </c>
      <c r="I282" s="1" t="str">
        <f>METADATA_SOURCES!$A$2</f>
        <v>SRC001</v>
      </c>
    </row>
    <row r="283" spans="1:9" x14ac:dyDescent="0.3">
      <c r="A283" s="1">
        <v>19</v>
      </c>
      <c r="B283" s="1" t="s">
        <v>50</v>
      </c>
      <c r="C283" s="1">
        <v>21</v>
      </c>
      <c r="D283" s="1" t="s">
        <v>51</v>
      </c>
      <c r="E283" s="8">
        <v>726</v>
      </c>
      <c r="F283" s="1" t="s">
        <v>81</v>
      </c>
      <c r="G283" s="1">
        <v>2020</v>
      </c>
      <c r="H283" s="1" t="str">
        <f>IF(tblFLOWOD[[#This Row],[nama_asal]]=tblFLOWOD[[#This Row],[nama_tujuan]],"keluar","isi")</f>
        <v>isi</v>
      </c>
      <c r="I283" s="1" t="str">
        <f>METADATA_SOURCES!$A$2</f>
        <v>SRC001</v>
      </c>
    </row>
    <row r="284" spans="1:9" x14ac:dyDescent="0.3">
      <c r="A284" s="1">
        <v>19</v>
      </c>
      <c r="B284" s="1" t="s">
        <v>50</v>
      </c>
      <c r="C284" s="1">
        <v>31</v>
      </c>
      <c r="D284" s="1" t="s">
        <v>52</v>
      </c>
      <c r="E284" s="8">
        <v>708</v>
      </c>
      <c r="F284" s="1" t="s">
        <v>81</v>
      </c>
      <c r="G284" s="1">
        <v>2020</v>
      </c>
      <c r="H284" s="1" t="str">
        <f>IF(tblFLOWOD[[#This Row],[nama_asal]]=tblFLOWOD[[#This Row],[nama_tujuan]],"keluar","isi")</f>
        <v>isi</v>
      </c>
      <c r="I284" s="1" t="str">
        <f>METADATA_SOURCES!$A$2</f>
        <v>SRC001</v>
      </c>
    </row>
    <row r="285" spans="1:9" x14ac:dyDescent="0.3">
      <c r="A285" s="1">
        <v>19</v>
      </c>
      <c r="B285" s="1" t="s">
        <v>50</v>
      </c>
      <c r="C285" s="1">
        <v>32</v>
      </c>
      <c r="D285" s="1" t="s">
        <v>53</v>
      </c>
      <c r="E285" s="8">
        <v>1562</v>
      </c>
      <c r="F285" s="1" t="s">
        <v>81</v>
      </c>
      <c r="G285" s="1">
        <v>2020</v>
      </c>
      <c r="H285" s="1" t="str">
        <f>IF(tblFLOWOD[[#This Row],[nama_asal]]=tblFLOWOD[[#This Row],[nama_tujuan]],"keluar","isi")</f>
        <v>isi</v>
      </c>
      <c r="I285" s="1" t="str">
        <f>METADATA_SOURCES!$A$2</f>
        <v>SRC001</v>
      </c>
    </row>
    <row r="286" spans="1:9" x14ac:dyDescent="0.3">
      <c r="A286" s="1">
        <v>19</v>
      </c>
      <c r="B286" s="1" t="s">
        <v>50</v>
      </c>
      <c r="C286" s="1">
        <v>33</v>
      </c>
      <c r="D286" s="1" t="s">
        <v>54</v>
      </c>
      <c r="E286" s="8">
        <v>2784</v>
      </c>
      <c r="F286" s="1" t="s">
        <v>81</v>
      </c>
      <c r="G286" s="1">
        <v>2020</v>
      </c>
      <c r="H286" s="1" t="str">
        <f>IF(tblFLOWOD[[#This Row],[nama_asal]]=tblFLOWOD[[#This Row],[nama_tujuan]],"keluar","isi")</f>
        <v>isi</v>
      </c>
      <c r="I286" s="1" t="str">
        <f>METADATA_SOURCES!$A$2</f>
        <v>SRC001</v>
      </c>
    </row>
    <row r="287" spans="1:9" x14ac:dyDescent="0.3">
      <c r="A287" s="1">
        <v>19</v>
      </c>
      <c r="B287" s="1" t="s">
        <v>50</v>
      </c>
      <c r="C287" s="1">
        <v>34</v>
      </c>
      <c r="D287" s="1" t="s">
        <v>55</v>
      </c>
      <c r="E287" s="8">
        <v>1104</v>
      </c>
      <c r="F287" s="1" t="s">
        <v>81</v>
      </c>
      <c r="G287" s="1">
        <v>2020</v>
      </c>
      <c r="H287" s="1" t="str">
        <f>IF(tblFLOWOD[[#This Row],[nama_asal]]=tblFLOWOD[[#This Row],[nama_tujuan]],"keluar","isi")</f>
        <v>isi</v>
      </c>
      <c r="I287" s="1" t="str">
        <f>METADATA_SOURCES!$A$2</f>
        <v>SRC001</v>
      </c>
    </row>
    <row r="288" spans="1:9" x14ac:dyDescent="0.3">
      <c r="A288" s="1">
        <v>19</v>
      </c>
      <c r="B288" s="1" t="s">
        <v>50</v>
      </c>
      <c r="C288" s="1">
        <v>35</v>
      </c>
      <c r="D288" s="1" t="s">
        <v>56</v>
      </c>
      <c r="E288" s="8">
        <v>1123</v>
      </c>
      <c r="F288" s="1" t="s">
        <v>81</v>
      </c>
      <c r="G288" s="1">
        <v>2020</v>
      </c>
      <c r="H288" s="1" t="str">
        <f>IF(tblFLOWOD[[#This Row],[nama_asal]]=tblFLOWOD[[#This Row],[nama_tujuan]],"keluar","isi")</f>
        <v>isi</v>
      </c>
      <c r="I288" s="1" t="str">
        <f>METADATA_SOURCES!$A$2</f>
        <v>SRC001</v>
      </c>
    </row>
    <row r="289" spans="1:9" x14ac:dyDescent="0.3">
      <c r="A289" s="1">
        <v>19</v>
      </c>
      <c r="B289" s="1" t="s">
        <v>50</v>
      </c>
      <c r="C289" s="1">
        <v>36</v>
      </c>
      <c r="D289" s="1" t="s">
        <v>57</v>
      </c>
      <c r="E289" s="8">
        <v>1354</v>
      </c>
      <c r="F289" s="1" t="s">
        <v>81</v>
      </c>
      <c r="G289" s="1">
        <v>2020</v>
      </c>
      <c r="H289" s="1" t="str">
        <f>IF(tblFLOWOD[[#This Row],[nama_asal]]=tblFLOWOD[[#This Row],[nama_tujuan]],"keluar","isi")</f>
        <v>isi</v>
      </c>
      <c r="I289" s="1" t="str">
        <f>METADATA_SOURCES!$A$2</f>
        <v>SRC001</v>
      </c>
    </row>
    <row r="290" spans="1:9" x14ac:dyDescent="0.3">
      <c r="A290" s="1">
        <v>19</v>
      </c>
      <c r="B290" s="1" t="s">
        <v>50</v>
      </c>
      <c r="C290" s="1">
        <v>51</v>
      </c>
      <c r="D290" s="1" t="s">
        <v>58</v>
      </c>
      <c r="E290" s="8">
        <v>100</v>
      </c>
      <c r="F290" s="1" t="s">
        <v>81</v>
      </c>
      <c r="G290" s="1">
        <v>2020</v>
      </c>
      <c r="H290" s="1" t="str">
        <f>IF(tblFLOWOD[[#This Row],[nama_asal]]=tblFLOWOD[[#This Row],[nama_tujuan]],"keluar","isi")</f>
        <v>isi</v>
      </c>
      <c r="I290" s="1" t="str">
        <f>METADATA_SOURCES!$A$2</f>
        <v>SRC001</v>
      </c>
    </row>
    <row r="291" spans="1:9" x14ac:dyDescent="0.3">
      <c r="A291" s="1">
        <v>19</v>
      </c>
      <c r="B291" s="1" t="s">
        <v>50</v>
      </c>
      <c r="C291" s="1">
        <v>52</v>
      </c>
      <c r="D291" s="1" t="s">
        <v>59</v>
      </c>
      <c r="E291" s="8">
        <v>644</v>
      </c>
      <c r="F291" s="1" t="s">
        <v>81</v>
      </c>
      <c r="G291" s="1">
        <v>2020</v>
      </c>
      <c r="H291" s="1" t="str">
        <f>IF(tblFLOWOD[[#This Row],[nama_asal]]=tblFLOWOD[[#This Row],[nama_tujuan]],"keluar","isi")</f>
        <v>isi</v>
      </c>
      <c r="I291" s="1" t="str">
        <f>METADATA_SOURCES!$A$2</f>
        <v>SRC001</v>
      </c>
    </row>
    <row r="292" spans="1:9" x14ac:dyDescent="0.3">
      <c r="A292" s="1">
        <v>19</v>
      </c>
      <c r="B292" s="1" t="s">
        <v>50</v>
      </c>
      <c r="C292" s="1">
        <v>53</v>
      </c>
      <c r="D292" s="1" t="s">
        <v>60</v>
      </c>
      <c r="E292" s="8">
        <v>395</v>
      </c>
      <c r="F292" s="1" t="s">
        <v>81</v>
      </c>
      <c r="G292" s="1">
        <v>2020</v>
      </c>
      <c r="H292" s="1" t="str">
        <f>IF(tblFLOWOD[[#This Row],[nama_asal]]=tblFLOWOD[[#This Row],[nama_tujuan]],"keluar","isi")</f>
        <v>isi</v>
      </c>
      <c r="I292" s="1" t="str">
        <f>METADATA_SOURCES!$A$2</f>
        <v>SRC001</v>
      </c>
    </row>
    <row r="293" spans="1:9" x14ac:dyDescent="0.3">
      <c r="A293" s="1">
        <v>19</v>
      </c>
      <c r="B293" s="1" t="s">
        <v>50</v>
      </c>
      <c r="C293" s="1">
        <v>61</v>
      </c>
      <c r="D293" s="1" t="s">
        <v>61</v>
      </c>
      <c r="E293" s="8">
        <v>220</v>
      </c>
      <c r="F293" s="1" t="s">
        <v>81</v>
      </c>
      <c r="G293" s="1">
        <v>2020</v>
      </c>
      <c r="H293" s="1" t="str">
        <f>IF(tblFLOWOD[[#This Row],[nama_asal]]=tblFLOWOD[[#This Row],[nama_tujuan]],"keluar","isi")</f>
        <v>isi</v>
      </c>
      <c r="I293" s="1" t="str">
        <f>METADATA_SOURCES!$A$2</f>
        <v>SRC001</v>
      </c>
    </row>
    <row r="294" spans="1:9" x14ac:dyDescent="0.3">
      <c r="A294" s="1">
        <v>19</v>
      </c>
      <c r="B294" s="1" t="s">
        <v>50</v>
      </c>
      <c r="C294" s="1">
        <v>62</v>
      </c>
      <c r="D294" s="1" t="s">
        <v>62</v>
      </c>
      <c r="E294" s="8">
        <v>102</v>
      </c>
      <c r="F294" s="1" t="s">
        <v>81</v>
      </c>
      <c r="G294" s="1">
        <v>2020</v>
      </c>
      <c r="H294" s="1" t="str">
        <f>IF(tblFLOWOD[[#This Row],[nama_asal]]=tblFLOWOD[[#This Row],[nama_tujuan]],"keluar","isi")</f>
        <v>isi</v>
      </c>
      <c r="I294" s="1" t="str">
        <f>METADATA_SOURCES!$A$2</f>
        <v>SRC001</v>
      </c>
    </row>
    <row r="295" spans="1:9" x14ac:dyDescent="0.3">
      <c r="A295" s="1">
        <v>19</v>
      </c>
      <c r="B295" s="1" t="s">
        <v>50</v>
      </c>
      <c r="C295" s="1">
        <v>63</v>
      </c>
      <c r="D295" s="1" t="s">
        <v>63</v>
      </c>
      <c r="E295" s="8">
        <v>79</v>
      </c>
      <c r="F295" s="1" t="s">
        <v>81</v>
      </c>
      <c r="G295" s="1">
        <v>2020</v>
      </c>
      <c r="H295" s="1" t="str">
        <f>IF(tblFLOWOD[[#This Row],[nama_asal]]=tblFLOWOD[[#This Row],[nama_tujuan]],"keluar","isi")</f>
        <v>isi</v>
      </c>
      <c r="I295" s="1" t="str">
        <f>METADATA_SOURCES!$A$2</f>
        <v>SRC001</v>
      </c>
    </row>
    <row r="296" spans="1:9" x14ac:dyDescent="0.3">
      <c r="A296" s="1">
        <v>19</v>
      </c>
      <c r="B296" s="1" t="s">
        <v>50</v>
      </c>
      <c r="C296" s="1">
        <v>64</v>
      </c>
      <c r="D296" s="1" t="s">
        <v>64</v>
      </c>
      <c r="E296" s="8">
        <v>224</v>
      </c>
      <c r="F296" s="1" t="s">
        <v>81</v>
      </c>
      <c r="G296" s="1">
        <v>2020</v>
      </c>
      <c r="H296" s="1" t="str">
        <f>IF(tblFLOWOD[[#This Row],[nama_asal]]=tblFLOWOD[[#This Row],[nama_tujuan]],"keluar","isi")</f>
        <v>isi</v>
      </c>
      <c r="I296" s="1" t="str">
        <f>METADATA_SOURCES!$A$2</f>
        <v>SRC001</v>
      </c>
    </row>
    <row r="297" spans="1:9" x14ac:dyDescent="0.3">
      <c r="A297" s="1">
        <v>19</v>
      </c>
      <c r="B297" s="1" t="s">
        <v>50</v>
      </c>
      <c r="C297" s="1">
        <v>65</v>
      </c>
      <c r="D297" s="1" t="s">
        <v>65</v>
      </c>
      <c r="E297" s="8">
        <v>7</v>
      </c>
      <c r="F297" s="1" t="s">
        <v>81</v>
      </c>
      <c r="G297" s="1">
        <v>2020</v>
      </c>
      <c r="H297" s="1" t="str">
        <f>IF(tblFLOWOD[[#This Row],[nama_asal]]=tblFLOWOD[[#This Row],[nama_tujuan]],"keluar","isi")</f>
        <v>isi</v>
      </c>
      <c r="I297" s="1" t="str">
        <f>METADATA_SOURCES!$A$2</f>
        <v>SRC001</v>
      </c>
    </row>
    <row r="298" spans="1:9" x14ac:dyDescent="0.3">
      <c r="A298" s="1">
        <v>19</v>
      </c>
      <c r="B298" s="1" t="s">
        <v>50</v>
      </c>
      <c r="C298" s="1">
        <v>71</v>
      </c>
      <c r="D298" s="1" t="s">
        <v>66</v>
      </c>
      <c r="E298" s="8">
        <v>4</v>
      </c>
      <c r="F298" s="1" t="s">
        <v>81</v>
      </c>
      <c r="G298" s="1">
        <v>2020</v>
      </c>
      <c r="H298" s="1" t="str">
        <f>IF(tblFLOWOD[[#This Row],[nama_asal]]=tblFLOWOD[[#This Row],[nama_tujuan]],"keluar","isi")</f>
        <v>isi</v>
      </c>
      <c r="I298" s="1" t="str">
        <f>METADATA_SOURCES!$A$2</f>
        <v>SRC001</v>
      </c>
    </row>
    <row r="299" spans="1:9" x14ac:dyDescent="0.3">
      <c r="A299" s="1">
        <v>19</v>
      </c>
      <c r="B299" s="1" t="s">
        <v>50</v>
      </c>
      <c r="C299" s="1">
        <v>72</v>
      </c>
      <c r="D299" s="1" t="s">
        <v>67</v>
      </c>
      <c r="E299" s="8">
        <v>69</v>
      </c>
      <c r="F299" s="1" t="s">
        <v>81</v>
      </c>
      <c r="G299" s="1">
        <v>2020</v>
      </c>
      <c r="H299" s="1" t="str">
        <f>IF(tblFLOWOD[[#This Row],[nama_asal]]=tblFLOWOD[[#This Row],[nama_tujuan]],"keluar","isi")</f>
        <v>isi</v>
      </c>
      <c r="I299" s="1" t="str">
        <f>METADATA_SOURCES!$A$2</f>
        <v>SRC001</v>
      </c>
    </row>
    <row r="300" spans="1:9" x14ac:dyDescent="0.3">
      <c r="A300" s="1">
        <v>19</v>
      </c>
      <c r="B300" s="1" t="s">
        <v>50</v>
      </c>
      <c r="C300" s="1">
        <v>73</v>
      </c>
      <c r="D300" s="1" t="s">
        <v>68</v>
      </c>
      <c r="E300" s="8">
        <v>184</v>
      </c>
      <c r="F300" s="1" t="s">
        <v>81</v>
      </c>
      <c r="G300" s="1">
        <v>2020</v>
      </c>
      <c r="H300" s="1" t="str">
        <f>IF(tblFLOWOD[[#This Row],[nama_asal]]=tblFLOWOD[[#This Row],[nama_tujuan]],"keluar","isi")</f>
        <v>isi</v>
      </c>
      <c r="I300" s="1" t="str">
        <f>METADATA_SOURCES!$A$2</f>
        <v>SRC001</v>
      </c>
    </row>
    <row r="301" spans="1:9" x14ac:dyDescent="0.3">
      <c r="A301" s="1">
        <v>19</v>
      </c>
      <c r="B301" s="1" t="s">
        <v>50</v>
      </c>
      <c r="C301" s="1">
        <v>74</v>
      </c>
      <c r="D301" s="1" t="s">
        <v>69</v>
      </c>
      <c r="E301" s="8">
        <v>555</v>
      </c>
      <c r="F301" s="1" t="s">
        <v>81</v>
      </c>
      <c r="G301" s="1">
        <v>2020</v>
      </c>
      <c r="H301" s="1" t="str">
        <f>IF(tblFLOWOD[[#This Row],[nama_asal]]=tblFLOWOD[[#This Row],[nama_tujuan]],"keluar","isi")</f>
        <v>isi</v>
      </c>
      <c r="I301" s="1" t="str">
        <f>METADATA_SOURCES!$A$2</f>
        <v>SRC001</v>
      </c>
    </row>
    <row r="302" spans="1:9" x14ac:dyDescent="0.3">
      <c r="A302" s="1">
        <v>19</v>
      </c>
      <c r="B302" s="1" t="s">
        <v>50</v>
      </c>
      <c r="C302" s="1">
        <v>75</v>
      </c>
      <c r="D302" s="1" t="s">
        <v>70</v>
      </c>
      <c r="E302" s="8">
        <v>0</v>
      </c>
      <c r="F302" s="1" t="s">
        <v>81</v>
      </c>
      <c r="G302" s="1">
        <v>2020</v>
      </c>
      <c r="H302" s="1" t="str">
        <f>IF(tblFLOWOD[[#This Row],[nama_asal]]=tblFLOWOD[[#This Row],[nama_tujuan]],"keluar","isi")</f>
        <v>isi</v>
      </c>
      <c r="I302" s="1" t="str">
        <f>METADATA_SOURCES!$A$2</f>
        <v>SRC001</v>
      </c>
    </row>
    <row r="303" spans="1:9" x14ac:dyDescent="0.3">
      <c r="A303" s="1">
        <v>19</v>
      </c>
      <c r="B303" s="1" t="s">
        <v>50</v>
      </c>
      <c r="C303" s="1">
        <v>76</v>
      </c>
      <c r="D303" s="1" t="s">
        <v>71</v>
      </c>
      <c r="E303" s="8">
        <v>38</v>
      </c>
      <c r="F303" s="1" t="s">
        <v>81</v>
      </c>
      <c r="G303" s="1">
        <v>2020</v>
      </c>
      <c r="H303" s="1" t="str">
        <f>IF(tblFLOWOD[[#This Row],[nama_asal]]=tblFLOWOD[[#This Row],[nama_tujuan]],"keluar","isi")</f>
        <v>isi</v>
      </c>
      <c r="I303" s="1" t="str">
        <f>METADATA_SOURCES!$A$2</f>
        <v>SRC001</v>
      </c>
    </row>
    <row r="304" spans="1:9" x14ac:dyDescent="0.3">
      <c r="A304" s="1">
        <v>19</v>
      </c>
      <c r="B304" s="1" t="s">
        <v>50</v>
      </c>
      <c r="C304" s="1">
        <v>81</v>
      </c>
      <c r="D304" s="1" t="s">
        <v>72</v>
      </c>
      <c r="E304" s="8">
        <v>0</v>
      </c>
      <c r="F304" s="1" t="s">
        <v>81</v>
      </c>
      <c r="G304" s="1">
        <v>2020</v>
      </c>
      <c r="H304" s="1" t="str">
        <f>IF(tblFLOWOD[[#This Row],[nama_asal]]=tblFLOWOD[[#This Row],[nama_tujuan]],"keluar","isi")</f>
        <v>isi</v>
      </c>
      <c r="I304" s="1" t="str">
        <f>METADATA_SOURCES!$A$2</f>
        <v>SRC001</v>
      </c>
    </row>
    <row r="305" spans="1:9" x14ac:dyDescent="0.3">
      <c r="A305" s="1">
        <v>19</v>
      </c>
      <c r="B305" s="1" t="s">
        <v>50</v>
      </c>
      <c r="C305" s="1">
        <v>82</v>
      </c>
      <c r="D305" s="1" t="s">
        <v>73</v>
      </c>
      <c r="E305" s="8">
        <v>15</v>
      </c>
      <c r="F305" s="1" t="s">
        <v>81</v>
      </c>
      <c r="G305" s="1">
        <v>2020</v>
      </c>
      <c r="H305" s="1" t="str">
        <f>IF(tblFLOWOD[[#This Row],[nama_asal]]=tblFLOWOD[[#This Row],[nama_tujuan]],"keluar","isi")</f>
        <v>isi</v>
      </c>
      <c r="I305" s="1" t="str">
        <f>METADATA_SOURCES!$A$2</f>
        <v>SRC001</v>
      </c>
    </row>
    <row r="306" spans="1:9" x14ac:dyDescent="0.3">
      <c r="A306" s="1">
        <v>19</v>
      </c>
      <c r="B306" s="1" t="s">
        <v>50</v>
      </c>
      <c r="C306" s="1">
        <v>91</v>
      </c>
      <c r="D306" s="1" t="s">
        <v>74</v>
      </c>
      <c r="E306" s="8">
        <v>0</v>
      </c>
      <c r="F306" s="1" t="s">
        <v>81</v>
      </c>
      <c r="G306" s="1">
        <v>2020</v>
      </c>
      <c r="H306" s="1" t="str">
        <f>IF(tblFLOWOD[[#This Row],[nama_asal]]=tblFLOWOD[[#This Row],[nama_tujuan]],"keluar","isi")</f>
        <v>isi</v>
      </c>
      <c r="I306" s="1" t="str">
        <f>METADATA_SOURCES!$A$2</f>
        <v>SRC001</v>
      </c>
    </row>
    <row r="307" spans="1:9" x14ac:dyDescent="0.3">
      <c r="A307" s="1">
        <v>19</v>
      </c>
      <c r="B307" s="1" t="s">
        <v>50</v>
      </c>
      <c r="C307" s="1">
        <v>94</v>
      </c>
      <c r="D307" s="1" t="s">
        <v>75</v>
      </c>
      <c r="E307" s="8">
        <v>0</v>
      </c>
      <c r="F307" s="1" t="s">
        <v>81</v>
      </c>
      <c r="G307" s="1">
        <v>2020</v>
      </c>
      <c r="H307" s="1" t="str">
        <f>IF(tblFLOWOD[[#This Row],[nama_asal]]=tblFLOWOD[[#This Row],[nama_tujuan]],"keluar","isi")</f>
        <v>isi</v>
      </c>
      <c r="I307" s="1" t="str">
        <f>METADATA_SOURCES!$A$2</f>
        <v>SRC001</v>
      </c>
    </row>
    <row r="308" spans="1:9" x14ac:dyDescent="0.3">
      <c r="A308" s="1">
        <v>21</v>
      </c>
      <c r="B308" s="1" t="s">
        <v>51</v>
      </c>
      <c r="C308" s="1">
        <v>11</v>
      </c>
      <c r="D308" s="1" t="s">
        <v>42</v>
      </c>
      <c r="E308" s="8">
        <v>921</v>
      </c>
      <c r="F308" s="1" t="s">
        <v>81</v>
      </c>
      <c r="G308" s="1">
        <v>2020</v>
      </c>
      <c r="H308" s="1" t="str">
        <f>IF(tblFLOWOD[[#This Row],[nama_asal]]=tblFLOWOD[[#This Row],[nama_tujuan]],"keluar","isi")</f>
        <v>isi</v>
      </c>
      <c r="I308" s="1" t="str">
        <f>METADATA_SOURCES!$A$2</f>
        <v>SRC001</v>
      </c>
    </row>
    <row r="309" spans="1:9" x14ac:dyDescent="0.3">
      <c r="A309" s="1">
        <v>21</v>
      </c>
      <c r="B309" s="1" t="s">
        <v>51</v>
      </c>
      <c r="C309" s="1">
        <v>12</v>
      </c>
      <c r="D309" s="1" t="s">
        <v>43</v>
      </c>
      <c r="E309" s="8">
        <v>18601</v>
      </c>
      <c r="F309" s="1" t="s">
        <v>81</v>
      </c>
      <c r="G309" s="1">
        <v>2020</v>
      </c>
      <c r="H309" s="1" t="str">
        <f>IF(tblFLOWOD[[#This Row],[nama_asal]]=tblFLOWOD[[#This Row],[nama_tujuan]],"keluar","isi")</f>
        <v>isi</v>
      </c>
      <c r="I309" s="1" t="str">
        <f>METADATA_SOURCES!$A$2</f>
        <v>SRC001</v>
      </c>
    </row>
    <row r="310" spans="1:9" x14ac:dyDescent="0.3">
      <c r="A310" s="1">
        <v>21</v>
      </c>
      <c r="B310" s="1" t="s">
        <v>51</v>
      </c>
      <c r="C310" s="1">
        <v>13</v>
      </c>
      <c r="D310" s="1" t="s">
        <v>44</v>
      </c>
      <c r="E310" s="8">
        <v>15324</v>
      </c>
      <c r="F310" s="1" t="s">
        <v>81</v>
      </c>
      <c r="G310" s="1">
        <v>2020</v>
      </c>
      <c r="H310" s="1" t="str">
        <f>IF(tblFLOWOD[[#This Row],[nama_asal]]=tblFLOWOD[[#This Row],[nama_tujuan]],"keluar","isi")</f>
        <v>isi</v>
      </c>
      <c r="I310" s="1" t="str">
        <f>METADATA_SOURCES!$A$2</f>
        <v>SRC001</v>
      </c>
    </row>
    <row r="311" spans="1:9" x14ac:dyDescent="0.3">
      <c r="A311" s="1">
        <v>21</v>
      </c>
      <c r="B311" s="1" t="s">
        <v>51</v>
      </c>
      <c r="C311" s="1">
        <v>14</v>
      </c>
      <c r="D311" s="1" t="s">
        <v>45</v>
      </c>
      <c r="E311" s="8">
        <v>7531</v>
      </c>
      <c r="F311" s="1" t="s">
        <v>81</v>
      </c>
      <c r="G311" s="1">
        <v>2020</v>
      </c>
      <c r="H311" s="1" t="str">
        <f>IF(tblFLOWOD[[#This Row],[nama_asal]]=tblFLOWOD[[#This Row],[nama_tujuan]],"keluar","isi")</f>
        <v>isi</v>
      </c>
      <c r="I311" s="1" t="str">
        <f>METADATA_SOURCES!$A$2</f>
        <v>SRC001</v>
      </c>
    </row>
    <row r="312" spans="1:9" x14ac:dyDescent="0.3">
      <c r="A312" s="1">
        <v>21</v>
      </c>
      <c r="B312" s="1" t="s">
        <v>51</v>
      </c>
      <c r="C312" s="1">
        <v>15</v>
      </c>
      <c r="D312" s="1" t="s">
        <v>46</v>
      </c>
      <c r="E312" s="8">
        <v>1708</v>
      </c>
      <c r="F312" s="1" t="s">
        <v>81</v>
      </c>
      <c r="G312" s="1">
        <v>2020</v>
      </c>
      <c r="H312" s="1" t="str">
        <f>IF(tblFLOWOD[[#This Row],[nama_asal]]=tblFLOWOD[[#This Row],[nama_tujuan]],"keluar","isi")</f>
        <v>isi</v>
      </c>
      <c r="I312" s="1" t="str">
        <f>METADATA_SOURCES!$A$2</f>
        <v>SRC001</v>
      </c>
    </row>
    <row r="313" spans="1:9" x14ac:dyDescent="0.3">
      <c r="A313" s="1">
        <v>21</v>
      </c>
      <c r="B313" s="1" t="s">
        <v>51</v>
      </c>
      <c r="C313" s="1">
        <v>16</v>
      </c>
      <c r="D313" s="1" t="s">
        <v>47</v>
      </c>
      <c r="E313" s="8">
        <v>1574</v>
      </c>
      <c r="F313" s="1" t="s">
        <v>81</v>
      </c>
      <c r="G313" s="1">
        <v>2020</v>
      </c>
      <c r="H313" s="1" t="str">
        <f>IF(tblFLOWOD[[#This Row],[nama_asal]]=tblFLOWOD[[#This Row],[nama_tujuan]],"keluar","isi")</f>
        <v>isi</v>
      </c>
      <c r="I313" s="1" t="str">
        <f>METADATA_SOURCES!$A$2</f>
        <v>SRC001</v>
      </c>
    </row>
    <row r="314" spans="1:9" x14ac:dyDescent="0.3">
      <c r="A314" s="1">
        <v>21</v>
      </c>
      <c r="B314" s="1" t="s">
        <v>51</v>
      </c>
      <c r="C314" s="1">
        <v>17</v>
      </c>
      <c r="D314" s="1" t="s">
        <v>48</v>
      </c>
      <c r="E314" s="8">
        <v>766</v>
      </c>
      <c r="F314" s="1" t="s">
        <v>81</v>
      </c>
      <c r="G314" s="1">
        <v>2020</v>
      </c>
      <c r="H314" s="1" t="str">
        <f>IF(tblFLOWOD[[#This Row],[nama_asal]]=tblFLOWOD[[#This Row],[nama_tujuan]],"keluar","isi")</f>
        <v>isi</v>
      </c>
      <c r="I314" s="1" t="str">
        <f>METADATA_SOURCES!$A$2</f>
        <v>SRC001</v>
      </c>
    </row>
    <row r="315" spans="1:9" x14ac:dyDescent="0.3">
      <c r="A315" s="1">
        <v>21</v>
      </c>
      <c r="B315" s="1" t="s">
        <v>51</v>
      </c>
      <c r="C315" s="1">
        <v>18</v>
      </c>
      <c r="D315" s="1" t="s">
        <v>49</v>
      </c>
      <c r="E315" s="8">
        <v>1267</v>
      </c>
      <c r="F315" s="1" t="s">
        <v>81</v>
      </c>
      <c r="G315" s="1">
        <v>2020</v>
      </c>
      <c r="H315" s="1" t="str">
        <f>IF(tblFLOWOD[[#This Row],[nama_asal]]=tblFLOWOD[[#This Row],[nama_tujuan]],"keluar","isi")</f>
        <v>isi</v>
      </c>
      <c r="I315" s="1" t="str">
        <f>METADATA_SOURCES!$A$2</f>
        <v>SRC001</v>
      </c>
    </row>
    <row r="316" spans="1:9" x14ac:dyDescent="0.3">
      <c r="A316" s="1">
        <v>21</v>
      </c>
      <c r="B316" s="1" t="s">
        <v>51</v>
      </c>
      <c r="C316" s="1">
        <v>19</v>
      </c>
      <c r="D316" s="1" t="s">
        <v>50</v>
      </c>
      <c r="E316" s="8">
        <v>800</v>
      </c>
      <c r="F316" s="1" t="s">
        <v>81</v>
      </c>
      <c r="G316" s="1">
        <v>2020</v>
      </c>
      <c r="H316" s="1" t="str">
        <f>IF(tblFLOWOD[[#This Row],[nama_asal]]=tblFLOWOD[[#This Row],[nama_tujuan]],"keluar","isi")</f>
        <v>isi</v>
      </c>
      <c r="I316" s="1" t="str">
        <f>METADATA_SOURCES!$A$2</f>
        <v>SRC001</v>
      </c>
    </row>
    <row r="317" spans="1:9" x14ac:dyDescent="0.3">
      <c r="A317" s="1">
        <v>21</v>
      </c>
      <c r="B317" s="1" t="s">
        <v>51</v>
      </c>
      <c r="C317" s="1">
        <v>21</v>
      </c>
      <c r="D317" s="1" t="s">
        <v>51</v>
      </c>
      <c r="E317" s="8">
        <v>1890902</v>
      </c>
      <c r="F317" s="1" t="s">
        <v>81</v>
      </c>
      <c r="G317" s="1">
        <v>2020</v>
      </c>
      <c r="H317" s="1" t="str">
        <f>IF(tblFLOWOD[[#This Row],[nama_asal]]=tblFLOWOD[[#This Row],[nama_tujuan]],"keluar","isi")</f>
        <v>keluar</v>
      </c>
      <c r="I317" s="1" t="str">
        <f>METADATA_SOURCES!$A$2</f>
        <v>SRC001</v>
      </c>
    </row>
    <row r="318" spans="1:9" x14ac:dyDescent="0.3">
      <c r="A318" s="1">
        <v>21</v>
      </c>
      <c r="B318" s="1" t="s">
        <v>51</v>
      </c>
      <c r="C318" s="1">
        <v>31</v>
      </c>
      <c r="D318" s="1" t="s">
        <v>52</v>
      </c>
      <c r="E318" s="8">
        <v>933</v>
      </c>
      <c r="F318" s="1" t="s">
        <v>81</v>
      </c>
      <c r="G318" s="1">
        <v>2020</v>
      </c>
      <c r="H318" s="1" t="str">
        <f>IF(tblFLOWOD[[#This Row],[nama_asal]]=tblFLOWOD[[#This Row],[nama_tujuan]],"keluar","isi")</f>
        <v>isi</v>
      </c>
      <c r="I318" s="1" t="str">
        <f>METADATA_SOURCES!$A$2</f>
        <v>SRC001</v>
      </c>
    </row>
    <row r="319" spans="1:9" x14ac:dyDescent="0.3">
      <c r="A319" s="1">
        <v>21</v>
      </c>
      <c r="B319" s="1" t="s">
        <v>51</v>
      </c>
      <c r="C319" s="1">
        <v>32</v>
      </c>
      <c r="D319" s="1" t="s">
        <v>53</v>
      </c>
      <c r="E319" s="8">
        <v>3414</v>
      </c>
      <c r="F319" s="1" t="s">
        <v>81</v>
      </c>
      <c r="G319" s="1">
        <v>2020</v>
      </c>
      <c r="H319" s="1" t="str">
        <f>IF(tblFLOWOD[[#This Row],[nama_asal]]=tblFLOWOD[[#This Row],[nama_tujuan]],"keluar","isi")</f>
        <v>isi</v>
      </c>
      <c r="I319" s="1" t="str">
        <f>METADATA_SOURCES!$A$2</f>
        <v>SRC001</v>
      </c>
    </row>
    <row r="320" spans="1:9" x14ac:dyDescent="0.3">
      <c r="A320" s="1">
        <v>21</v>
      </c>
      <c r="B320" s="1" t="s">
        <v>51</v>
      </c>
      <c r="C320" s="1">
        <v>33</v>
      </c>
      <c r="D320" s="1" t="s">
        <v>54</v>
      </c>
      <c r="E320" s="8">
        <v>12124</v>
      </c>
      <c r="F320" s="1" t="s">
        <v>81</v>
      </c>
      <c r="G320" s="1">
        <v>2020</v>
      </c>
      <c r="H320" s="1" t="str">
        <f>IF(tblFLOWOD[[#This Row],[nama_asal]]=tblFLOWOD[[#This Row],[nama_tujuan]],"keluar","isi")</f>
        <v>isi</v>
      </c>
      <c r="I320" s="1" t="str">
        <f>METADATA_SOURCES!$A$2</f>
        <v>SRC001</v>
      </c>
    </row>
    <row r="321" spans="1:9" x14ac:dyDescent="0.3">
      <c r="A321" s="1">
        <v>21</v>
      </c>
      <c r="B321" s="1" t="s">
        <v>51</v>
      </c>
      <c r="C321" s="1">
        <v>34</v>
      </c>
      <c r="D321" s="1" t="s">
        <v>55</v>
      </c>
      <c r="E321" s="8">
        <v>2028</v>
      </c>
      <c r="F321" s="1" t="s">
        <v>81</v>
      </c>
      <c r="G321" s="1">
        <v>2020</v>
      </c>
      <c r="H321" s="1" t="str">
        <f>IF(tblFLOWOD[[#This Row],[nama_asal]]=tblFLOWOD[[#This Row],[nama_tujuan]],"keluar","isi")</f>
        <v>isi</v>
      </c>
      <c r="I321" s="1" t="str">
        <f>METADATA_SOURCES!$A$2</f>
        <v>SRC001</v>
      </c>
    </row>
    <row r="322" spans="1:9" x14ac:dyDescent="0.3">
      <c r="A322" s="1">
        <v>21</v>
      </c>
      <c r="B322" s="1" t="s">
        <v>51</v>
      </c>
      <c r="C322" s="1">
        <v>35</v>
      </c>
      <c r="D322" s="1" t="s">
        <v>56</v>
      </c>
      <c r="E322" s="8">
        <v>6453</v>
      </c>
      <c r="F322" s="1" t="s">
        <v>81</v>
      </c>
      <c r="G322" s="1">
        <v>2020</v>
      </c>
      <c r="H322" s="1" t="str">
        <f>IF(tblFLOWOD[[#This Row],[nama_asal]]=tblFLOWOD[[#This Row],[nama_tujuan]],"keluar","isi")</f>
        <v>isi</v>
      </c>
      <c r="I322" s="1" t="str">
        <f>METADATA_SOURCES!$A$2</f>
        <v>SRC001</v>
      </c>
    </row>
    <row r="323" spans="1:9" x14ac:dyDescent="0.3">
      <c r="A323" s="1">
        <v>21</v>
      </c>
      <c r="B323" s="1" t="s">
        <v>51</v>
      </c>
      <c r="C323" s="1">
        <v>36</v>
      </c>
      <c r="D323" s="1" t="s">
        <v>57</v>
      </c>
      <c r="E323" s="8">
        <v>719</v>
      </c>
      <c r="F323" s="1" t="s">
        <v>81</v>
      </c>
      <c r="G323" s="1">
        <v>2020</v>
      </c>
      <c r="H323" s="1" t="str">
        <f>IF(tblFLOWOD[[#This Row],[nama_asal]]=tblFLOWOD[[#This Row],[nama_tujuan]],"keluar","isi")</f>
        <v>isi</v>
      </c>
      <c r="I323" s="1" t="str">
        <f>METADATA_SOURCES!$A$2</f>
        <v>SRC001</v>
      </c>
    </row>
    <row r="324" spans="1:9" x14ac:dyDescent="0.3">
      <c r="A324" s="1">
        <v>21</v>
      </c>
      <c r="B324" s="1" t="s">
        <v>51</v>
      </c>
      <c r="C324" s="1">
        <v>51</v>
      </c>
      <c r="D324" s="1" t="s">
        <v>58</v>
      </c>
      <c r="E324" s="8">
        <v>93</v>
      </c>
      <c r="F324" s="1" t="s">
        <v>81</v>
      </c>
      <c r="G324" s="1">
        <v>2020</v>
      </c>
      <c r="H324" s="1" t="str">
        <f>IF(tblFLOWOD[[#This Row],[nama_asal]]=tblFLOWOD[[#This Row],[nama_tujuan]],"keluar","isi")</f>
        <v>isi</v>
      </c>
      <c r="I324" s="1" t="str">
        <f>METADATA_SOURCES!$A$2</f>
        <v>SRC001</v>
      </c>
    </row>
    <row r="325" spans="1:9" x14ac:dyDescent="0.3">
      <c r="A325" s="1">
        <v>21</v>
      </c>
      <c r="B325" s="1" t="s">
        <v>51</v>
      </c>
      <c r="C325" s="1">
        <v>52</v>
      </c>
      <c r="D325" s="1" t="s">
        <v>59</v>
      </c>
      <c r="E325" s="8">
        <v>1253</v>
      </c>
      <c r="F325" s="1" t="s">
        <v>81</v>
      </c>
      <c r="G325" s="1">
        <v>2020</v>
      </c>
      <c r="H325" s="1" t="str">
        <f>IF(tblFLOWOD[[#This Row],[nama_asal]]=tblFLOWOD[[#This Row],[nama_tujuan]],"keluar","isi")</f>
        <v>isi</v>
      </c>
      <c r="I325" s="1" t="str">
        <f>METADATA_SOURCES!$A$2</f>
        <v>SRC001</v>
      </c>
    </row>
    <row r="326" spans="1:9" x14ac:dyDescent="0.3">
      <c r="A326" s="1">
        <v>21</v>
      </c>
      <c r="B326" s="1" t="s">
        <v>51</v>
      </c>
      <c r="C326" s="1">
        <v>53</v>
      </c>
      <c r="D326" s="1" t="s">
        <v>60</v>
      </c>
      <c r="E326" s="8">
        <v>3124</v>
      </c>
      <c r="F326" s="1" t="s">
        <v>81</v>
      </c>
      <c r="G326" s="1">
        <v>2020</v>
      </c>
      <c r="H326" s="1" t="str">
        <f>IF(tblFLOWOD[[#This Row],[nama_asal]]=tblFLOWOD[[#This Row],[nama_tujuan]],"keluar","isi")</f>
        <v>isi</v>
      </c>
      <c r="I326" s="1" t="str">
        <f>METADATA_SOURCES!$A$2</f>
        <v>SRC001</v>
      </c>
    </row>
    <row r="327" spans="1:9" x14ac:dyDescent="0.3">
      <c r="A327" s="1">
        <v>21</v>
      </c>
      <c r="B327" s="1" t="s">
        <v>51</v>
      </c>
      <c r="C327" s="1">
        <v>61</v>
      </c>
      <c r="D327" s="1" t="s">
        <v>61</v>
      </c>
      <c r="E327" s="8">
        <v>932</v>
      </c>
      <c r="F327" s="1" t="s">
        <v>81</v>
      </c>
      <c r="G327" s="1">
        <v>2020</v>
      </c>
      <c r="H327" s="1" t="str">
        <f>IF(tblFLOWOD[[#This Row],[nama_asal]]=tblFLOWOD[[#This Row],[nama_tujuan]],"keluar","isi")</f>
        <v>isi</v>
      </c>
      <c r="I327" s="1" t="str">
        <f>METADATA_SOURCES!$A$2</f>
        <v>SRC001</v>
      </c>
    </row>
    <row r="328" spans="1:9" x14ac:dyDescent="0.3">
      <c r="A328" s="1">
        <v>21</v>
      </c>
      <c r="B328" s="1" t="s">
        <v>51</v>
      </c>
      <c r="C328" s="1">
        <v>62</v>
      </c>
      <c r="D328" s="1" t="s">
        <v>62</v>
      </c>
      <c r="E328" s="8">
        <v>30</v>
      </c>
      <c r="F328" s="1" t="s">
        <v>81</v>
      </c>
      <c r="G328" s="1">
        <v>2020</v>
      </c>
      <c r="H328" s="1" t="str">
        <f>IF(tblFLOWOD[[#This Row],[nama_asal]]=tblFLOWOD[[#This Row],[nama_tujuan]],"keluar","isi")</f>
        <v>isi</v>
      </c>
      <c r="I328" s="1" t="str">
        <f>METADATA_SOURCES!$A$2</f>
        <v>SRC001</v>
      </c>
    </row>
    <row r="329" spans="1:9" x14ac:dyDescent="0.3">
      <c r="A329" s="1">
        <v>21</v>
      </c>
      <c r="B329" s="1" t="s">
        <v>51</v>
      </c>
      <c r="C329" s="1">
        <v>63</v>
      </c>
      <c r="D329" s="1" t="s">
        <v>63</v>
      </c>
      <c r="E329" s="8">
        <v>196</v>
      </c>
      <c r="F329" s="1" t="s">
        <v>81</v>
      </c>
      <c r="G329" s="1">
        <v>2020</v>
      </c>
      <c r="H329" s="1" t="str">
        <f>IF(tblFLOWOD[[#This Row],[nama_asal]]=tblFLOWOD[[#This Row],[nama_tujuan]],"keluar","isi")</f>
        <v>isi</v>
      </c>
      <c r="I329" s="1" t="str">
        <f>METADATA_SOURCES!$A$2</f>
        <v>SRC001</v>
      </c>
    </row>
    <row r="330" spans="1:9" x14ac:dyDescent="0.3">
      <c r="A330" s="1">
        <v>21</v>
      </c>
      <c r="B330" s="1" t="s">
        <v>51</v>
      </c>
      <c r="C330" s="1">
        <v>64</v>
      </c>
      <c r="D330" s="1" t="s">
        <v>64</v>
      </c>
      <c r="E330" s="8">
        <v>270</v>
      </c>
      <c r="F330" s="1" t="s">
        <v>81</v>
      </c>
      <c r="G330" s="1">
        <v>2020</v>
      </c>
      <c r="H330" s="1" t="str">
        <f>IF(tblFLOWOD[[#This Row],[nama_asal]]=tblFLOWOD[[#This Row],[nama_tujuan]],"keluar","isi")</f>
        <v>isi</v>
      </c>
      <c r="I330" s="1" t="str">
        <f>METADATA_SOURCES!$A$2</f>
        <v>SRC001</v>
      </c>
    </row>
    <row r="331" spans="1:9" x14ac:dyDescent="0.3">
      <c r="A331" s="1">
        <v>21</v>
      </c>
      <c r="B331" s="1" t="s">
        <v>51</v>
      </c>
      <c r="C331" s="1">
        <v>65</v>
      </c>
      <c r="D331" s="1" t="s">
        <v>65</v>
      </c>
      <c r="E331" s="8">
        <v>129</v>
      </c>
      <c r="F331" s="1" t="s">
        <v>81</v>
      </c>
      <c r="G331" s="1">
        <v>2020</v>
      </c>
      <c r="H331" s="1" t="str">
        <f>IF(tblFLOWOD[[#This Row],[nama_asal]]=tblFLOWOD[[#This Row],[nama_tujuan]],"keluar","isi")</f>
        <v>isi</v>
      </c>
      <c r="I331" s="1" t="str">
        <f>METADATA_SOURCES!$A$2</f>
        <v>SRC001</v>
      </c>
    </row>
    <row r="332" spans="1:9" x14ac:dyDescent="0.3">
      <c r="A332" s="1">
        <v>21</v>
      </c>
      <c r="B332" s="1" t="s">
        <v>51</v>
      </c>
      <c r="C332" s="1">
        <v>71</v>
      </c>
      <c r="D332" s="1" t="s">
        <v>66</v>
      </c>
      <c r="E332" s="8">
        <v>425</v>
      </c>
      <c r="F332" s="1" t="s">
        <v>81</v>
      </c>
      <c r="G332" s="1">
        <v>2020</v>
      </c>
      <c r="H332" s="1" t="str">
        <f>IF(tblFLOWOD[[#This Row],[nama_asal]]=tblFLOWOD[[#This Row],[nama_tujuan]],"keluar","isi")</f>
        <v>isi</v>
      </c>
      <c r="I332" s="1" t="str">
        <f>METADATA_SOURCES!$A$2</f>
        <v>SRC001</v>
      </c>
    </row>
    <row r="333" spans="1:9" x14ac:dyDescent="0.3">
      <c r="A333" s="1">
        <v>21</v>
      </c>
      <c r="B333" s="1" t="s">
        <v>51</v>
      </c>
      <c r="C333" s="1">
        <v>72</v>
      </c>
      <c r="D333" s="1" t="s">
        <v>67</v>
      </c>
      <c r="E333" s="8">
        <v>95</v>
      </c>
      <c r="F333" s="1" t="s">
        <v>81</v>
      </c>
      <c r="G333" s="1">
        <v>2020</v>
      </c>
      <c r="H333" s="1" t="str">
        <f>IF(tblFLOWOD[[#This Row],[nama_asal]]=tblFLOWOD[[#This Row],[nama_tujuan]],"keluar","isi")</f>
        <v>isi</v>
      </c>
      <c r="I333" s="1" t="str">
        <f>METADATA_SOURCES!$A$2</f>
        <v>SRC001</v>
      </c>
    </row>
    <row r="334" spans="1:9" x14ac:dyDescent="0.3">
      <c r="A334" s="1">
        <v>21</v>
      </c>
      <c r="B334" s="1" t="s">
        <v>51</v>
      </c>
      <c r="C334" s="1">
        <v>73</v>
      </c>
      <c r="D334" s="1" t="s">
        <v>68</v>
      </c>
      <c r="E334" s="8">
        <v>877</v>
      </c>
      <c r="F334" s="1" t="s">
        <v>81</v>
      </c>
      <c r="G334" s="1">
        <v>2020</v>
      </c>
      <c r="H334" s="1" t="str">
        <f>IF(tblFLOWOD[[#This Row],[nama_asal]]=tblFLOWOD[[#This Row],[nama_tujuan]],"keluar","isi")</f>
        <v>isi</v>
      </c>
      <c r="I334" s="1" t="str">
        <f>METADATA_SOURCES!$A$2</f>
        <v>SRC001</v>
      </c>
    </row>
    <row r="335" spans="1:9" x14ac:dyDescent="0.3">
      <c r="A335" s="1">
        <v>21</v>
      </c>
      <c r="B335" s="1" t="s">
        <v>51</v>
      </c>
      <c r="C335" s="1">
        <v>74</v>
      </c>
      <c r="D335" s="1" t="s">
        <v>69</v>
      </c>
      <c r="E335" s="8">
        <v>1130</v>
      </c>
      <c r="F335" s="1" t="s">
        <v>81</v>
      </c>
      <c r="G335" s="1">
        <v>2020</v>
      </c>
      <c r="H335" s="1" t="str">
        <f>IF(tblFLOWOD[[#This Row],[nama_asal]]=tblFLOWOD[[#This Row],[nama_tujuan]],"keluar","isi")</f>
        <v>isi</v>
      </c>
      <c r="I335" s="1" t="str">
        <f>METADATA_SOURCES!$A$2</f>
        <v>SRC001</v>
      </c>
    </row>
    <row r="336" spans="1:9" x14ac:dyDescent="0.3">
      <c r="A336" s="1">
        <v>21</v>
      </c>
      <c r="B336" s="1" t="s">
        <v>51</v>
      </c>
      <c r="C336" s="1">
        <v>75</v>
      </c>
      <c r="D336" s="1" t="s">
        <v>70</v>
      </c>
      <c r="E336" s="8">
        <v>0</v>
      </c>
      <c r="F336" s="1" t="s">
        <v>81</v>
      </c>
      <c r="G336" s="1">
        <v>2020</v>
      </c>
      <c r="H336" s="1" t="str">
        <f>IF(tblFLOWOD[[#This Row],[nama_asal]]=tblFLOWOD[[#This Row],[nama_tujuan]],"keluar","isi")</f>
        <v>isi</v>
      </c>
      <c r="I336" s="1" t="str">
        <f>METADATA_SOURCES!$A$2</f>
        <v>SRC001</v>
      </c>
    </row>
    <row r="337" spans="1:9" x14ac:dyDescent="0.3">
      <c r="A337" s="1">
        <v>21</v>
      </c>
      <c r="B337" s="1" t="s">
        <v>51</v>
      </c>
      <c r="C337" s="1">
        <v>76</v>
      </c>
      <c r="D337" s="1" t="s">
        <v>71</v>
      </c>
      <c r="E337" s="8">
        <v>83</v>
      </c>
      <c r="F337" s="1" t="s">
        <v>81</v>
      </c>
      <c r="G337" s="1">
        <v>2020</v>
      </c>
      <c r="H337" s="1" t="str">
        <f>IF(tblFLOWOD[[#This Row],[nama_asal]]=tblFLOWOD[[#This Row],[nama_tujuan]],"keluar","isi")</f>
        <v>isi</v>
      </c>
      <c r="I337" s="1" t="str">
        <f>METADATA_SOURCES!$A$2</f>
        <v>SRC001</v>
      </c>
    </row>
    <row r="338" spans="1:9" x14ac:dyDescent="0.3">
      <c r="A338" s="1">
        <v>21</v>
      </c>
      <c r="B338" s="1" t="s">
        <v>51</v>
      </c>
      <c r="C338" s="1">
        <v>81</v>
      </c>
      <c r="D338" s="1" t="s">
        <v>72</v>
      </c>
      <c r="E338" s="8">
        <v>64</v>
      </c>
      <c r="F338" s="1" t="s">
        <v>81</v>
      </c>
      <c r="G338" s="1">
        <v>2020</v>
      </c>
      <c r="H338" s="1" t="str">
        <f>IF(tblFLOWOD[[#This Row],[nama_asal]]=tblFLOWOD[[#This Row],[nama_tujuan]],"keluar","isi")</f>
        <v>isi</v>
      </c>
      <c r="I338" s="1" t="str">
        <f>METADATA_SOURCES!$A$2</f>
        <v>SRC001</v>
      </c>
    </row>
    <row r="339" spans="1:9" x14ac:dyDescent="0.3">
      <c r="A339" s="1">
        <v>21</v>
      </c>
      <c r="B339" s="1" t="s">
        <v>51</v>
      </c>
      <c r="C339" s="1">
        <v>82</v>
      </c>
      <c r="D339" s="1" t="s">
        <v>73</v>
      </c>
      <c r="E339" s="8">
        <v>92</v>
      </c>
      <c r="F339" s="1" t="s">
        <v>81</v>
      </c>
      <c r="G339" s="1">
        <v>2020</v>
      </c>
      <c r="H339" s="1" t="str">
        <f>IF(tblFLOWOD[[#This Row],[nama_asal]]=tblFLOWOD[[#This Row],[nama_tujuan]],"keluar","isi")</f>
        <v>isi</v>
      </c>
      <c r="I339" s="1" t="str">
        <f>METADATA_SOURCES!$A$2</f>
        <v>SRC001</v>
      </c>
    </row>
    <row r="340" spans="1:9" x14ac:dyDescent="0.3">
      <c r="A340" s="1">
        <v>21</v>
      </c>
      <c r="B340" s="1" t="s">
        <v>51</v>
      </c>
      <c r="C340" s="1">
        <v>91</v>
      </c>
      <c r="D340" s="1" t="s">
        <v>74</v>
      </c>
      <c r="E340" s="8">
        <v>48</v>
      </c>
      <c r="F340" s="1" t="s">
        <v>81</v>
      </c>
      <c r="G340" s="1">
        <v>2020</v>
      </c>
      <c r="H340" s="1" t="str">
        <f>IF(tblFLOWOD[[#This Row],[nama_asal]]=tblFLOWOD[[#This Row],[nama_tujuan]],"keluar","isi")</f>
        <v>isi</v>
      </c>
      <c r="I340" s="1" t="str">
        <f>METADATA_SOURCES!$A$2</f>
        <v>SRC001</v>
      </c>
    </row>
    <row r="341" spans="1:9" x14ac:dyDescent="0.3">
      <c r="A341" s="1">
        <v>21</v>
      </c>
      <c r="B341" s="1" t="s">
        <v>51</v>
      </c>
      <c r="C341" s="1">
        <v>94</v>
      </c>
      <c r="D341" s="1" t="s">
        <v>75</v>
      </c>
      <c r="E341" s="8">
        <v>161</v>
      </c>
      <c r="F341" s="1" t="s">
        <v>81</v>
      </c>
      <c r="G341" s="1">
        <v>2020</v>
      </c>
      <c r="H341" s="1" t="str">
        <f>IF(tblFLOWOD[[#This Row],[nama_asal]]=tblFLOWOD[[#This Row],[nama_tujuan]],"keluar","isi")</f>
        <v>isi</v>
      </c>
      <c r="I341" s="1" t="str">
        <f>METADATA_SOURCES!$A$2</f>
        <v>SRC001</v>
      </c>
    </row>
    <row r="342" spans="1:9" x14ac:dyDescent="0.3">
      <c r="A342" s="1">
        <v>31</v>
      </c>
      <c r="B342" s="1" t="s">
        <v>52</v>
      </c>
      <c r="C342" s="1">
        <v>11</v>
      </c>
      <c r="D342" s="1" t="s">
        <v>42</v>
      </c>
      <c r="E342" s="8">
        <v>2000</v>
      </c>
      <c r="F342" s="1" t="s">
        <v>81</v>
      </c>
      <c r="G342" s="1">
        <v>2020</v>
      </c>
      <c r="H342" s="1" t="str">
        <f>IF(tblFLOWOD[[#This Row],[nama_asal]]=tblFLOWOD[[#This Row],[nama_tujuan]],"keluar","isi")</f>
        <v>isi</v>
      </c>
      <c r="I342" s="1" t="str">
        <f>METADATA_SOURCES!$A$2</f>
        <v>SRC001</v>
      </c>
    </row>
    <row r="343" spans="1:9" x14ac:dyDescent="0.3">
      <c r="A343" s="1">
        <v>31</v>
      </c>
      <c r="B343" s="1" t="s">
        <v>52</v>
      </c>
      <c r="C343" s="1">
        <v>12</v>
      </c>
      <c r="D343" s="1" t="s">
        <v>43</v>
      </c>
      <c r="E343" s="8">
        <v>19064</v>
      </c>
      <c r="F343" s="1" t="s">
        <v>81</v>
      </c>
      <c r="G343" s="1">
        <v>2020</v>
      </c>
      <c r="H343" s="1" t="str">
        <f>IF(tblFLOWOD[[#This Row],[nama_asal]]=tblFLOWOD[[#This Row],[nama_tujuan]],"keluar","isi")</f>
        <v>isi</v>
      </c>
      <c r="I343" s="1" t="str">
        <f>METADATA_SOURCES!$A$2</f>
        <v>SRC001</v>
      </c>
    </row>
    <row r="344" spans="1:9" x14ac:dyDescent="0.3">
      <c r="A344" s="1">
        <v>31</v>
      </c>
      <c r="B344" s="1" t="s">
        <v>52</v>
      </c>
      <c r="C344" s="1">
        <v>13</v>
      </c>
      <c r="D344" s="1" t="s">
        <v>44</v>
      </c>
      <c r="E344" s="8">
        <v>22428</v>
      </c>
      <c r="F344" s="1" t="s">
        <v>81</v>
      </c>
      <c r="G344" s="1">
        <v>2020</v>
      </c>
      <c r="H344" s="1" t="str">
        <f>IF(tblFLOWOD[[#This Row],[nama_asal]]=tblFLOWOD[[#This Row],[nama_tujuan]],"keluar","isi")</f>
        <v>isi</v>
      </c>
      <c r="I344" s="1" t="str">
        <f>METADATA_SOURCES!$A$2</f>
        <v>SRC001</v>
      </c>
    </row>
    <row r="345" spans="1:9" x14ac:dyDescent="0.3">
      <c r="A345" s="1">
        <v>31</v>
      </c>
      <c r="B345" s="1" t="s">
        <v>52</v>
      </c>
      <c r="C345" s="1">
        <v>14</v>
      </c>
      <c r="D345" s="1" t="s">
        <v>45</v>
      </c>
      <c r="E345" s="8">
        <v>2643</v>
      </c>
      <c r="F345" s="1" t="s">
        <v>81</v>
      </c>
      <c r="G345" s="1">
        <v>2020</v>
      </c>
      <c r="H345" s="1" t="str">
        <f>IF(tblFLOWOD[[#This Row],[nama_asal]]=tblFLOWOD[[#This Row],[nama_tujuan]],"keluar","isi")</f>
        <v>isi</v>
      </c>
      <c r="I345" s="1" t="str">
        <f>METADATA_SOURCES!$A$2</f>
        <v>SRC001</v>
      </c>
    </row>
    <row r="346" spans="1:9" x14ac:dyDescent="0.3">
      <c r="A346" s="1">
        <v>31</v>
      </c>
      <c r="B346" s="1" t="s">
        <v>52</v>
      </c>
      <c r="C346" s="1">
        <v>15</v>
      </c>
      <c r="D346" s="1" t="s">
        <v>46</v>
      </c>
      <c r="E346" s="8">
        <v>1670</v>
      </c>
      <c r="F346" s="1" t="s">
        <v>81</v>
      </c>
      <c r="G346" s="1">
        <v>2020</v>
      </c>
      <c r="H346" s="1" t="str">
        <f>IF(tblFLOWOD[[#This Row],[nama_asal]]=tblFLOWOD[[#This Row],[nama_tujuan]],"keluar","isi")</f>
        <v>isi</v>
      </c>
      <c r="I346" s="1" t="str">
        <f>METADATA_SOURCES!$A$2</f>
        <v>SRC001</v>
      </c>
    </row>
    <row r="347" spans="1:9" x14ac:dyDescent="0.3">
      <c r="A347" s="1">
        <v>31</v>
      </c>
      <c r="B347" s="1" t="s">
        <v>52</v>
      </c>
      <c r="C347" s="1">
        <v>16</v>
      </c>
      <c r="D347" s="1" t="s">
        <v>47</v>
      </c>
      <c r="E347" s="8">
        <v>5757</v>
      </c>
      <c r="F347" s="1" t="s">
        <v>81</v>
      </c>
      <c r="G347" s="1">
        <v>2020</v>
      </c>
      <c r="H347" s="1" t="str">
        <f>IF(tblFLOWOD[[#This Row],[nama_asal]]=tblFLOWOD[[#This Row],[nama_tujuan]],"keluar","isi")</f>
        <v>isi</v>
      </c>
      <c r="I347" s="1" t="str">
        <f>METADATA_SOURCES!$A$2</f>
        <v>SRC001</v>
      </c>
    </row>
    <row r="348" spans="1:9" x14ac:dyDescent="0.3">
      <c r="A348" s="1">
        <v>31</v>
      </c>
      <c r="B348" s="1" t="s">
        <v>52</v>
      </c>
      <c r="C348" s="1">
        <v>17</v>
      </c>
      <c r="D348" s="1" t="s">
        <v>48</v>
      </c>
      <c r="E348" s="8">
        <v>2108</v>
      </c>
      <c r="F348" s="1" t="s">
        <v>81</v>
      </c>
      <c r="G348" s="1">
        <v>2020</v>
      </c>
      <c r="H348" s="1" t="str">
        <f>IF(tblFLOWOD[[#This Row],[nama_asal]]=tblFLOWOD[[#This Row],[nama_tujuan]],"keluar","isi")</f>
        <v>isi</v>
      </c>
      <c r="I348" s="1" t="str">
        <f>METADATA_SOURCES!$A$2</f>
        <v>SRC001</v>
      </c>
    </row>
    <row r="349" spans="1:9" x14ac:dyDescent="0.3">
      <c r="A349" s="1">
        <v>31</v>
      </c>
      <c r="B349" s="1" t="s">
        <v>52</v>
      </c>
      <c r="C349" s="1">
        <v>18</v>
      </c>
      <c r="D349" s="1" t="s">
        <v>49</v>
      </c>
      <c r="E349" s="8">
        <v>18517</v>
      </c>
      <c r="F349" s="1" t="s">
        <v>81</v>
      </c>
      <c r="G349" s="1">
        <v>2020</v>
      </c>
      <c r="H349" s="1" t="str">
        <f>IF(tblFLOWOD[[#This Row],[nama_asal]]=tblFLOWOD[[#This Row],[nama_tujuan]],"keluar","isi")</f>
        <v>isi</v>
      </c>
      <c r="I349" s="1" t="str">
        <f>METADATA_SOURCES!$A$2</f>
        <v>SRC001</v>
      </c>
    </row>
    <row r="350" spans="1:9" x14ac:dyDescent="0.3">
      <c r="A350" s="1">
        <v>31</v>
      </c>
      <c r="B350" s="1" t="s">
        <v>52</v>
      </c>
      <c r="C350" s="1">
        <v>19</v>
      </c>
      <c r="D350" s="1" t="s">
        <v>50</v>
      </c>
      <c r="E350" s="8">
        <v>3638</v>
      </c>
      <c r="F350" s="1" t="s">
        <v>81</v>
      </c>
      <c r="G350" s="1">
        <v>2020</v>
      </c>
      <c r="H350" s="1" t="str">
        <f>IF(tblFLOWOD[[#This Row],[nama_asal]]=tblFLOWOD[[#This Row],[nama_tujuan]],"keluar","isi")</f>
        <v>isi</v>
      </c>
      <c r="I350" s="1" t="str">
        <f>METADATA_SOURCES!$A$2</f>
        <v>SRC001</v>
      </c>
    </row>
    <row r="351" spans="1:9" x14ac:dyDescent="0.3">
      <c r="A351" s="1">
        <v>31</v>
      </c>
      <c r="B351" s="1" t="s">
        <v>52</v>
      </c>
      <c r="C351" s="1">
        <v>21</v>
      </c>
      <c r="D351" s="1" t="s">
        <v>51</v>
      </c>
      <c r="E351" s="8">
        <v>3380</v>
      </c>
      <c r="F351" s="1" t="s">
        <v>81</v>
      </c>
      <c r="G351" s="1">
        <v>2020</v>
      </c>
      <c r="H351" s="1" t="str">
        <f>IF(tblFLOWOD[[#This Row],[nama_asal]]=tblFLOWOD[[#This Row],[nama_tujuan]],"keluar","isi")</f>
        <v>isi</v>
      </c>
      <c r="I351" s="1" t="str">
        <f>METADATA_SOURCES!$A$2</f>
        <v>SRC001</v>
      </c>
    </row>
    <row r="352" spans="1:9" x14ac:dyDescent="0.3">
      <c r="A352" s="1">
        <v>31</v>
      </c>
      <c r="B352" s="1" t="s">
        <v>52</v>
      </c>
      <c r="C352" s="1">
        <v>31</v>
      </c>
      <c r="D352" s="1" t="s">
        <v>52</v>
      </c>
      <c r="E352" s="8">
        <v>9668748</v>
      </c>
      <c r="F352" s="1" t="s">
        <v>81</v>
      </c>
      <c r="G352" s="1">
        <v>2020</v>
      </c>
      <c r="H352" s="1" t="str">
        <f>IF(tblFLOWOD[[#This Row],[nama_asal]]=tblFLOWOD[[#This Row],[nama_tujuan]],"keluar","isi")</f>
        <v>keluar</v>
      </c>
      <c r="I352" s="1" t="str">
        <f>METADATA_SOURCES!$A$2</f>
        <v>SRC001</v>
      </c>
    </row>
    <row r="353" spans="1:9" x14ac:dyDescent="0.3">
      <c r="A353" s="1">
        <v>31</v>
      </c>
      <c r="B353" s="1" t="s">
        <v>52</v>
      </c>
      <c r="C353" s="1">
        <v>32</v>
      </c>
      <c r="D353" s="1" t="s">
        <v>53</v>
      </c>
      <c r="E353" s="8">
        <v>339634</v>
      </c>
      <c r="F353" s="1" t="s">
        <v>81</v>
      </c>
      <c r="G353" s="1">
        <v>2020</v>
      </c>
      <c r="H353" s="1" t="str">
        <f>IF(tblFLOWOD[[#This Row],[nama_asal]]=tblFLOWOD[[#This Row],[nama_tujuan]],"keluar","isi")</f>
        <v>isi</v>
      </c>
      <c r="I353" s="1" t="str">
        <f>METADATA_SOURCES!$A$2</f>
        <v>SRC001</v>
      </c>
    </row>
    <row r="354" spans="1:9" x14ac:dyDescent="0.3">
      <c r="A354" s="1">
        <v>31</v>
      </c>
      <c r="B354" s="1" t="s">
        <v>52</v>
      </c>
      <c r="C354" s="1">
        <v>33</v>
      </c>
      <c r="D354" s="1" t="s">
        <v>54</v>
      </c>
      <c r="E354" s="8">
        <v>188939</v>
      </c>
      <c r="F354" s="1" t="s">
        <v>81</v>
      </c>
      <c r="G354" s="1">
        <v>2020</v>
      </c>
      <c r="H354" s="1" t="str">
        <f>IF(tblFLOWOD[[#This Row],[nama_asal]]=tblFLOWOD[[#This Row],[nama_tujuan]],"keluar","isi")</f>
        <v>isi</v>
      </c>
      <c r="I354" s="1" t="str">
        <f>METADATA_SOURCES!$A$2</f>
        <v>SRC001</v>
      </c>
    </row>
    <row r="355" spans="1:9" x14ac:dyDescent="0.3">
      <c r="A355" s="1">
        <v>31</v>
      </c>
      <c r="B355" s="1" t="s">
        <v>52</v>
      </c>
      <c r="C355" s="1">
        <v>34</v>
      </c>
      <c r="D355" s="1" t="s">
        <v>55</v>
      </c>
      <c r="E355" s="8">
        <v>15291</v>
      </c>
      <c r="F355" s="1" t="s">
        <v>81</v>
      </c>
      <c r="G355" s="1">
        <v>2020</v>
      </c>
      <c r="H355" s="1" t="str">
        <f>IF(tblFLOWOD[[#This Row],[nama_asal]]=tblFLOWOD[[#This Row],[nama_tujuan]],"keluar","isi")</f>
        <v>isi</v>
      </c>
      <c r="I355" s="1" t="str">
        <f>METADATA_SOURCES!$A$2</f>
        <v>SRC001</v>
      </c>
    </row>
    <row r="356" spans="1:9" x14ac:dyDescent="0.3">
      <c r="A356" s="1">
        <v>31</v>
      </c>
      <c r="B356" s="1" t="s">
        <v>52</v>
      </c>
      <c r="C356" s="1">
        <v>35</v>
      </c>
      <c r="D356" s="1" t="s">
        <v>56</v>
      </c>
      <c r="E356" s="8">
        <v>31387</v>
      </c>
      <c r="F356" s="1" t="s">
        <v>81</v>
      </c>
      <c r="G356" s="1">
        <v>2020</v>
      </c>
      <c r="H356" s="1" t="str">
        <f>IF(tblFLOWOD[[#This Row],[nama_asal]]=tblFLOWOD[[#This Row],[nama_tujuan]],"keluar","isi")</f>
        <v>isi</v>
      </c>
      <c r="I356" s="1" t="str">
        <f>METADATA_SOURCES!$A$2</f>
        <v>SRC001</v>
      </c>
    </row>
    <row r="357" spans="1:9" x14ac:dyDescent="0.3">
      <c r="A357" s="1">
        <v>31</v>
      </c>
      <c r="B357" s="1" t="s">
        <v>52</v>
      </c>
      <c r="C357" s="1">
        <v>36</v>
      </c>
      <c r="D357" s="1" t="s">
        <v>57</v>
      </c>
      <c r="E357" s="8">
        <v>103105</v>
      </c>
      <c r="F357" s="1" t="s">
        <v>81</v>
      </c>
      <c r="G357" s="1">
        <v>2020</v>
      </c>
      <c r="H357" s="1" t="str">
        <f>IF(tblFLOWOD[[#This Row],[nama_asal]]=tblFLOWOD[[#This Row],[nama_tujuan]],"keluar","isi")</f>
        <v>isi</v>
      </c>
      <c r="I357" s="1" t="str">
        <f>METADATA_SOURCES!$A$2</f>
        <v>SRC001</v>
      </c>
    </row>
    <row r="358" spans="1:9" x14ac:dyDescent="0.3">
      <c r="A358" s="1">
        <v>31</v>
      </c>
      <c r="B358" s="1" t="s">
        <v>52</v>
      </c>
      <c r="C358" s="1">
        <v>51</v>
      </c>
      <c r="D358" s="1" t="s">
        <v>58</v>
      </c>
      <c r="E358" s="8">
        <v>2897</v>
      </c>
      <c r="F358" s="1" t="s">
        <v>81</v>
      </c>
      <c r="G358" s="1">
        <v>2020</v>
      </c>
      <c r="H358" s="1" t="str">
        <f>IF(tblFLOWOD[[#This Row],[nama_asal]]=tblFLOWOD[[#This Row],[nama_tujuan]],"keluar","isi")</f>
        <v>isi</v>
      </c>
      <c r="I358" s="1" t="str">
        <f>METADATA_SOURCES!$A$2</f>
        <v>SRC001</v>
      </c>
    </row>
    <row r="359" spans="1:9" x14ac:dyDescent="0.3">
      <c r="A359" s="1">
        <v>31</v>
      </c>
      <c r="B359" s="1" t="s">
        <v>52</v>
      </c>
      <c r="C359" s="1">
        <v>52</v>
      </c>
      <c r="D359" s="1" t="s">
        <v>59</v>
      </c>
      <c r="E359" s="8">
        <v>3969</v>
      </c>
      <c r="F359" s="1" t="s">
        <v>81</v>
      </c>
      <c r="G359" s="1">
        <v>2020</v>
      </c>
      <c r="H359" s="1" t="str">
        <f>IF(tblFLOWOD[[#This Row],[nama_asal]]=tblFLOWOD[[#This Row],[nama_tujuan]],"keluar","isi")</f>
        <v>isi</v>
      </c>
      <c r="I359" s="1" t="str">
        <f>METADATA_SOURCES!$A$2</f>
        <v>SRC001</v>
      </c>
    </row>
    <row r="360" spans="1:9" x14ac:dyDescent="0.3">
      <c r="A360" s="1">
        <v>31</v>
      </c>
      <c r="B360" s="1" t="s">
        <v>52</v>
      </c>
      <c r="C360" s="1">
        <v>53</v>
      </c>
      <c r="D360" s="1" t="s">
        <v>60</v>
      </c>
      <c r="E360" s="8">
        <v>5457</v>
      </c>
      <c r="F360" s="1" t="s">
        <v>81</v>
      </c>
      <c r="G360" s="1">
        <v>2020</v>
      </c>
      <c r="H360" s="1" t="str">
        <f>IF(tblFLOWOD[[#This Row],[nama_asal]]=tblFLOWOD[[#This Row],[nama_tujuan]],"keluar","isi")</f>
        <v>isi</v>
      </c>
      <c r="I360" s="1" t="str">
        <f>METADATA_SOURCES!$A$2</f>
        <v>SRC001</v>
      </c>
    </row>
    <row r="361" spans="1:9" x14ac:dyDescent="0.3">
      <c r="A361" s="1">
        <v>31</v>
      </c>
      <c r="B361" s="1" t="s">
        <v>52</v>
      </c>
      <c r="C361" s="1">
        <v>61</v>
      </c>
      <c r="D361" s="1" t="s">
        <v>61</v>
      </c>
      <c r="E361" s="8">
        <v>4620</v>
      </c>
      <c r="F361" s="1" t="s">
        <v>81</v>
      </c>
      <c r="G361" s="1">
        <v>2020</v>
      </c>
      <c r="H361" s="1" t="str">
        <f>IF(tblFLOWOD[[#This Row],[nama_asal]]=tblFLOWOD[[#This Row],[nama_tujuan]],"keluar","isi")</f>
        <v>isi</v>
      </c>
      <c r="I361" s="1" t="str">
        <f>METADATA_SOURCES!$A$2</f>
        <v>SRC001</v>
      </c>
    </row>
    <row r="362" spans="1:9" x14ac:dyDescent="0.3">
      <c r="A362" s="1">
        <v>31</v>
      </c>
      <c r="B362" s="1" t="s">
        <v>52</v>
      </c>
      <c r="C362" s="1">
        <v>62</v>
      </c>
      <c r="D362" s="1" t="s">
        <v>62</v>
      </c>
      <c r="E362" s="8">
        <v>1530</v>
      </c>
      <c r="F362" s="1" t="s">
        <v>81</v>
      </c>
      <c r="G362" s="1">
        <v>2020</v>
      </c>
      <c r="H362" s="1" t="str">
        <f>IF(tblFLOWOD[[#This Row],[nama_asal]]=tblFLOWOD[[#This Row],[nama_tujuan]],"keluar","isi")</f>
        <v>isi</v>
      </c>
      <c r="I362" s="1" t="str">
        <f>METADATA_SOURCES!$A$2</f>
        <v>SRC001</v>
      </c>
    </row>
    <row r="363" spans="1:9" x14ac:dyDescent="0.3">
      <c r="A363" s="1">
        <v>31</v>
      </c>
      <c r="B363" s="1" t="s">
        <v>52</v>
      </c>
      <c r="C363" s="1">
        <v>63</v>
      </c>
      <c r="D363" s="1" t="s">
        <v>63</v>
      </c>
      <c r="E363" s="8">
        <v>1237</v>
      </c>
      <c r="F363" s="1" t="s">
        <v>81</v>
      </c>
      <c r="G363" s="1">
        <v>2020</v>
      </c>
      <c r="H363" s="1" t="str">
        <f>IF(tblFLOWOD[[#This Row],[nama_asal]]=tblFLOWOD[[#This Row],[nama_tujuan]],"keluar","isi")</f>
        <v>isi</v>
      </c>
      <c r="I363" s="1" t="str">
        <f>METADATA_SOURCES!$A$2</f>
        <v>SRC001</v>
      </c>
    </row>
    <row r="364" spans="1:9" x14ac:dyDescent="0.3">
      <c r="A364" s="1">
        <v>31</v>
      </c>
      <c r="B364" s="1" t="s">
        <v>52</v>
      </c>
      <c r="C364" s="1">
        <v>64</v>
      </c>
      <c r="D364" s="1" t="s">
        <v>64</v>
      </c>
      <c r="E364" s="8">
        <v>3475</v>
      </c>
      <c r="F364" s="1" t="s">
        <v>81</v>
      </c>
      <c r="G364" s="1">
        <v>2020</v>
      </c>
      <c r="H364" s="1" t="str">
        <f>IF(tblFLOWOD[[#This Row],[nama_asal]]=tblFLOWOD[[#This Row],[nama_tujuan]],"keluar","isi")</f>
        <v>isi</v>
      </c>
      <c r="I364" s="1" t="str">
        <f>METADATA_SOURCES!$A$2</f>
        <v>SRC001</v>
      </c>
    </row>
    <row r="365" spans="1:9" x14ac:dyDescent="0.3">
      <c r="A365" s="1">
        <v>31</v>
      </c>
      <c r="B365" s="1" t="s">
        <v>52</v>
      </c>
      <c r="C365" s="1">
        <v>65</v>
      </c>
      <c r="D365" s="1" t="s">
        <v>65</v>
      </c>
      <c r="E365" s="8">
        <v>453</v>
      </c>
      <c r="F365" s="1" t="s">
        <v>81</v>
      </c>
      <c r="G365" s="1">
        <v>2020</v>
      </c>
      <c r="H365" s="1" t="str">
        <f>IF(tblFLOWOD[[#This Row],[nama_asal]]=tblFLOWOD[[#This Row],[nama_tujuan]],"keluar","isi")</f>
        <v>isi</v>
      </c>
      <c r="I365" s="1" t="str">
        <f>METADATA_SOURCES!$A$2</f>
        <v>SRC001</v>
      </c>
    </row>
    <row r="366" spans="1:9" x14ac:dyDescent="0.3">
      <c r="A366" s="1">
        <v>31</v>
      </c>
      <c r="B366" s="1" t="s">
        <v>52</v>
      </c>
      <c r="C366" s="1">
        <v>71</v>
      </c>
      <c r="D366" s="1" t="s">
        <v>66</v>
      </c>
      <c r="E366" s="8">
        <v>2596</v>
      </c>
      <c r="F366" s="1" t="s">
        <v>81</v>
      </c>
      <c r="G366" s="1">
        <v>2020</v>
      </c>
      <c r="H366" s="1" t="str">
        <f>IF(tblFLOWOD[[#This Row],[nama_asal]]=tblFLOWOD[[#This Row],[nama_tujuan]],"keluar","isi")</f>
        <v>isi</v>
      </c>
      <c r="I366" s="1" t="str">
        <f>METADATA_SOURCES!$A$2</f>
        <v>SRC001</v>
      </c>
    </row>
    <row r="367" spans="1:9" x14ac:dyDescent="0.3">
      <c r="A367" s="1">
        <v>31</v>
      </c>
      <c r="B367" s="1" t="s">
        <v>52</v>
      </c>
      <c r="C367" s="1">
        <v>72</v>
      </c>
      <c r="D367" s="1" t="s">
        <v>67</v>
      </c>
      <c r="E367" s="8">
        <v>1033</v>
      </c>
      <c r="F367" s="1" t="s">
        <v>81</v>
      </c>
      <c r="G367" s="1">
        <v>2020</v>
      </c>
      <c r="H367" s="1" t="str">
        <f>IF(tblFLOWOD[[#This Row],[nama_asal]]=tblFLOWOD[[#This Row],[nama_tujuan]],"keluar","isi")</f>
        <v>isi</v>
      </c>
      <c r="I367" s="1" t="str">
        <f>METADATA_SOURCES!$A$2</f>
        <v>SRC001</v>
      </c>
    </row>
    <row r="368" spans="1:9" x14ac:dyDescent="0.3">
      <c r="A368" s="1">
        <v>31</v>
      </c>
      <c r="B368" s="1" t="s">
        <v>52</v>
      </c>
      <c r="C368" s="1">
        <v>73</v>
      </c>
      <c r="D368" s="1" t="s">
        <v>68</v>
      </c>
      <c r="E368" s="8">
        <v>4428</v>
      </c>
      <c r="F368" s="1" t="s">
        <v>81</v>
      </c>
      <c r="G368" s="1">
        <v>2020</v>
      </c>
      <c r="H368" s="1" t="str">
        <f>IF(tblFLOWOD[[#This Row],[nama_asal]]=tblFLOWOD[[#This Row],[nama_tujuan]],"keluar","isi")</f>
        <v>isi</v>
      </c>
      <c r="I368" s="1" t="str">
        <f>METADATA_SOURCES!$A$2</f>
        <v>SRC001</v>
      </c>
    </row>
    <row r="369" spans="1:9" x14ac:dyDescent="0.3">
      <c r="A369" s="1">
        <v>31</v>
      </c>
      <c r="B369" s="1" t="s">
        <v>52</v>
      </c>
      <c r="C369" s="1">
        <v>74</v>
      </c>
      <c r="D369" s="1" t="s">
        <v>69</v>
      </c>
      <c r="E369" s="8">
        <v>1383</v>
      </c>
      <c r="F369" s="1" t="s">
        <v>81</v>
      </c>
      <c r="G369" s="1">
        <v>2020</v>
      </c>
      <c r="H369" s="1" t="str">
        <f>IF(tblFLOWOD[[#This Row],[nama_asal]]=tblFLOWOD[[#This Row],[nama_tujuan]],"keluar","isi")</f>
        <v>isi</v>
      </c>
      <c r="I369" s="1" t="str">
        <f>METADATA_SOURCES!$A$2</f>
        <v>SRC001</v>
      </c>
    </row>
    <row r="370" spans="1:9" x14ac:dyDescent="0.3">
      <c r="A370" s="1">
        <v>31</v>
      </c>
      <c r="B370" s="1" t="s">
        <v>52</v>
      </c>
      <c r="C370" s="1">
        <v>75</v>
      </c>
      <c r="D370" s="1" t="s">
        <v>70</v>
      </c>
      <c r="E370" s="8">
        <v>533</v>
      </c>
      <c r="F370" s="1" t="s">
        <v>81</v>
      </c>
      <c r="G370" s="1">
        <v>2020</v>
      </c>
      <c r="H370" s="1" t="str">
        <f>IF(tblFLOWOD[[#This Row],[nama_asal]]=tblFLOWOD[[#This Row],[nama_tujuan]],"keluar","isi")</f>
        <v>isi</v>
      </c>
      <c r="I370" s="1" t="str">
        <f>METADATA_SOURCES!$A$2</f>
        <v>SRC001</v>
      </c>
    </row>
    <row r="371" spans="1:9" x14ac:dyDescent="0.3">
      <c r="A371" s="1">
        <v>31</v>
      </c>
      <c r="B371" s="1" t="s">
        <v>52</v>
      </c>
      <c r="C371" s="1">
        <v>76</v>
      </c>
      <c r="D371" s="1" t="s">
        <v>71</v>
      </c>
      <c r="E371" s="8">
        <v>335</v>
      </c>
      <c r="F371" s="1" t="s">
        <v>81</v>
      </c>
      <c r="G371" s="1">
        <v>2020</v>
      </c>
      <c r="H371" s="1" t="str">
        <f>IF(tblFLOWOD[[#This Row],[nama_asal]]=tblFLOWOD[[#This Row],[nama_tujuan]],"keluar","isi")</f>
        <v>isi</v>
      </c>
      <c r="I371" s="1" t="str">
        <f>METADATA_SOURCES!$A$2</f>
        <v>SRC001</v>
      </c>
    </row>
    <row r="372" spans="1:9" x14ac:dyDescent="0.3">
      <c r="A372" s="1">
        <v>31</v>
      </c>
      <c r="B372" s="1" t="s">
        <v>52</v>
      </c>
      <c r="C372" s="1">
        <v>81</v>
      </c>
      <c r="D372" s="1" t="s">
        <v>72</v>
      </c>
      <c r="E372" s="8">
        <v>1417</v>
      </c>
      <c r="F372" s="1" t="s">
        <v>81</v>
      </c>
      <c r="G372" s="1">
        <v>2020</v>
      </c>
      <c r="H372" s="1" t="str">
        <f>IF(tblFLOWOD[[#This Row],[nama_asal]]=tblFLOWOD[[#This Row],[nama_tujuan]],"keluar","isi")</f>
        <v>isi</v>
      </c>
      <c r="I372" s="1" t="str">
        <f>METADATA_SOURCES!$A$2</f>
        <v>SRC001</v>
      </c>
    </row>
    <row r="373" spans="1:9" x14ac:dyDescent="0.3">
      <c r="A373" s="1">
        <v>31</v>
      </c>
      <c r="B373" s="1" t="s">
        <v>52</v>
      </c>
      <c r="C373" s="1">
        <v>82</v>
      </c>
      <c r="D373" s="1" t="s">
        <v>73</v>
      </c>
      <c r="E373" s="8">
        <v>480</v>
      </c>
      <c r="F373" s="1" t="s">
        <v>81</v>
      </c>
      <c r="G373" s="1">
        <v>2020</v>
      </c>
      <c r="H373" s="1" t="str">
        <f>IF(tblFLOWOD[[#This Row],[nama_asal]]=tblFLOWOD[[#This Row],[nama_tujuan]],"keluar","isi")</f>
        <v>isi</v>
      </c>
      <c r="I373" s="1" t="str">
        <f>METADATA_SOURCES!$A$2</f>
        <v>SRC001</v>
      </c>
    </row>
    <row r="374" spans="1:9" x14ac:dyDescent="0.3">
      <c r="A374" s="1">
        <v>31</v>
      </c>
      <c r="B374" s="1" t="s">
        <v>52</v>
      </c>
      <c r="C374" s="1">
        <v>91</v>
      </c>
      <c r="D374" s="1" t="s">
        <v>74</v>
      </c>
      <c r="E374" s="8">
        <v>969</v>
      </c>
      <c r="F374" s="1" t="s">
        <v>81</v>
      </c>
      <c r="G374" s="1">
        <v>2020</v>
      </c>
      <c r="H374" s="1" t="str">
        <f>IF(tblFLOWOD[[#This Row],[nama_asal]]=tblFLOWOD[[#This Row],[nama_tujuan]],"keluar","isi")</f>
        <v>isi</v>
      </c>
      <c r="I374" s="1" t="str">
        <f>METADATA_SOURCES!$A$2</f>
        <v>SRC001</v>
      </c>
    </row>
    <row r="375" spans="1:9" x14ac:dyDescent="0.3">
      <c r="A375" s="1">
        <v>31</v>
      </c>
      <c r="B375" s="1" t="s">
        <v>52</v>
      </c>
      <c r="C375" s="1">
        <v>94</v>
      </c>
      <c r="D375" s="1" t="s">
        <v>75</v>
      </c>
      <c r="E375" s="8">
        <v>1095</v>
      </c>
      <c r="F375" s="1" t="s">
        <v>81</v>
      </c>
      <c r="G375" s="1">
        <v>2020</v>
      </c>
      <c r="H375" s="1" t="str">
        <f>IF(tblFLOWOD[[#This Row],[nama_asal]]=tblFLOWOD[[#This Row],[nama_tujuan]],"keluar","isi")</f>
        <v>isi</v>
      </c>
      <c r="I375" s="1" t="str">
        <f>METADATA_SOURCES!$A$2</f>
        <v>SRC001</v>
      </c>
    </row>
    <row r="376" spans="1:9" x14ac:dyDescent="0.3">
      <c r="A376" s="1">
        <v>32</v>
      </c>
      <c r="B376" s="1" t="s">
        <v>53</v>
      </c>
      <c r="C376" s="1">
        <v>11</v>
      </c>
      <c r="D376" s="1" t="s">
        <v>42</v>
      </c>
      <c r="E376" s="8">
        <v>3038</v>
      </c>
      <c r="F376" s="1" t="s">
        <v>81</v>
      </c>
      <c r="G376" s="1">
        <v>2020</v>
      </c>
      <c r="H376" s="1" t="str">
        <f>IF(tblFLOWOD[[#This Row],[nama_asal]]=tblFLOWOD[[#This Row],[nama_tujuan]],"keluar","isi")</f>
        <v>isi</v>
      </c>
      <c r="I376" s="1" t="str">
        <f>METADATA_SOURCES!$A$2</f>
        <v>SRC001</v>
      </c>
    </row>
    <row r="377" spans="1:9" x14ac:dyDescent="0.3">
      <c r="A377" s="1">
        <v>32</v>
      </c>
      <c r="B377" s="1" t="s">
        <v>53</v>
      </c>
      <c r="C377" s="1">
        <v>12</v>
      </c>
      <c r="D377" s="1" t="s">
        <v>43</v>
      </c>
      <c r="E377" s="8">
        <v>21257</v>
      </c>
      <c r="F377" s="1" t="s">
        <v>81</v>
      </c>
      <c r="G377" s="1">
        <v>2020</v>
      </c>
      <c r="H377" s="1" t="str">
        <f>IF(tblFLOWOD[[#This Row],[nama_asal]]=tblFLOWOD[[#This Row],[nama_tujuan]],"keluar","isi")</f>
        <v>isi</v>
      </c>
      <c r="I377" s="1" t="str">
        <f>METADATA_SOURCES!$A$2</f>
        <v>SRC001</v>
      </c>
    </row>
    <row r="378" spans="1:9" x14ac:dyDescent="0.3">
      <c r="A378" s="1">
        <v>32</v>
      </c>
      <c r="B378" s="1" t="s">
        <v>53</v>
      </c>
      <c r="C378" s="1">
        <v>13</v>
      </c>
      <c r="D378" s="1" t="s">
        <v>44</v>
      </c>
      <c r="E378" s="8">
        <v>20448</v>
      </c>
      <c r="F378" s="1" t="s">
        <v>81</v>
      </c>
      <c r="G378" s="1">
        <v>2020</v>
      </c>
      <c r="H378" s="1" t="str">
        <f>IF(tblFLOWOD[[#This Row],[nama_asal]]=tblFLOWOD[[#This Row],[nama_tujuan]],"keluar","isi")</f>
        <v>isi</v>
      </c>
      <c r="I378" s="1" t="str">
        <f>METADATA_SOURCES!$A$2</f>
        <v>SRC001</v>
      </c>
    </row>
    <row r="379" spans="1:9" x14ac:dyDescent="0.3">
      <c r="A379" s="1">
        <v>32</v>
      </c>
      <c r="B379" s="1" t="s">
        <v>53</v>
      </c>
      <c r="C379" s="1">
        <v>14</v>
      </c>
      <c r="D379" s="1" t="s">
        <v>45</v>
      </c>
      <c r="E379" s="8">
        <v>5352</v>
      </c>
      <c r="F379" s="1" t="s">
        <v>81</v>
      </c>
      <c r="G379" s="1">
        <v>2020</v>
      </c>
      <c r="H379" s="1" t="str">
        <f>IF(tblFLOWOD[[#This Row],[nama_asal]]=tblFLOWOD[[#This Row],[nama_tujuan]],"keluar","isi")</f>
        <v>isi</v>
      </c>
      <c r="I379" s="1" t="str">
        <f>METADATA_SOURCES!$A$2</f>
        <v>SRC001</v>
      </c>
    </row>
    <row r="380" spans="1:9" x14ac:dyDescent="0.3">
      <c r="A380" s="1">
        <v>32</v>
      </c>
      <c r="B380" s="1" t="s">
        <v>53</v>
      </c>
      <c r="C380" s="1">
        <v>15</v>
      </c>
      <c r="D380" s="1" t="s">
        <v>46</v>
      </c>
      <c r="E380" s="8">
        <v>2979</v>
      </c>
      <c r="F380" s="1" t="s">
        <v>81</v>
      </c>
      <c r="G380" s="1">
        <v>2020</v>
      </c>
      <c r="H380" s="1" t="str">
        <f>IF(tblFLOWOD[[#This Row],[nama_asal]]=tblFLOWOD[[#This Row],[nama_tujuan]],"keluar","isi")</f>
        <v>isi</v>
      </c>
      <c r="I380" s="1" t="str">
        <f>METADATA_SOURCES!$A$2</f>
        <v>SRC001</v>
      </c>
    </row>
    <row r="381" spans="1:9" x14ac:dyDescent="0.3">
      <c r="A381" s="1">
        <v>32</v>
      </c>
      <c r="B381" s="1" t="s">
        <v>53</v>
      </c>
      <c r="C381" s="1">
        <v>16</v>
      </c>
      <c r="D381" s="1" t="s">
        <v>47</v>
      </c>
      <c r="E381" s="8">
        <v>13239</v>
      </c>
      <c r="F381" s="1" t="s">
        <v>81</v>
      </c>
      <c r="G381" s="1">
        <v>2020</v>
      </c>
      <c r="H381" s="1" t="str">
        <f>IF(tblFLOWOD[[#This Row],[nama_asal]]=tblFLOWOD[[#This Row],[nama_tujuan]],"keluar","isi")</f>
        <v>isi</v>
      </c>
      <c r="I381" s="1" t="str">
        <f>METADATA_SOURCES!$A$2</f>
        <v>SRC001</v>
      </c>
    </row>
    <row r="382" spans="1:9" x14ac:dyDescent="0.3">
      <c r="A382" s="1">
        <v>32</v>
      </c>
      <c r="B382" s="1" t="s">
        <v>53</v>
      </c>
      <c r="C382" s="1">
        <v>17</v>
      </c>
      <c r="D382" s="1" t="s">
        <v>48</v>
      </c>
      <c r="E382" s="8">
        <v>4523</v>
      </c>
      <c r="F382" s="1" t="s">
        <v>81</v>
      </c>
      <c r="G382" s="1">
        <v>2020</v>
      </c>
      <c r="H382" s="1" t="str">
        <f>IF(tblFLOWOD[[#This Row],[nama_asal]]=tblFLOWOD[[#This Row],[nama_tujuan]],"keluar","isi")</f>
        <v>isi</v>
      </c>
      <c r="I382" s="1" t="str">
        <f>METADATA_SOURCES!$A$2</f>
        <v>SRC001</v>
      </c>
    </row>
    <row r="383" spans="1:9" x14ac:dyDescent="0.3">
      <c r="A383" s="1">
        <v>32</v>
      </c>
      <c r="B383" s="1" t="s">
        <v>53</v>
      </c>
      <c r="C383" s="1">
        <v>18</v>
      </c>
      <c r="D383" s="1" t="s">
        <v>49</v>
      </c>
      <c r="E383" s="8">
        <v>20634</v>
      </c>
      <c r="F383" s="1" t="s">
        <v>81</v>
      </c>
      <c r="G383" s="1">
        <v>2020</v>
      </c>
      <c r="H383" s="1" t="str">
        <f>IF(tblFLOWOD[[#This Row],[nama_asal]]=tblFLOWOD[[#This Row],[nama_tujuan]],"keluar","isi")</f>
        <v>isi</v>
      </c>
      <c r="I383" s="1" t="str">
        <f>METADATA_SOURCES!$A$2</f>
        <v>SRC001</v>
      </c>
    </row>
    <row r="384" spans="1:9" x14ac:dyDescent="0.3">
      <c r="A384" s="1">
        <v>32</v>
      </c>
      <c r="B384" s="1" t="s">
        <v>53</v>
      </c>
      <c r="C384" s="1">
        <v>19</v>
      </c>
      <c r="D384" s="1" t="s">
        <v>50</v>
      </c>
      <c r="E384" s="8">
        <v>4325</v>
      </c>
      <c r="F384" s="1" t="s">
        <v>81</v>
      </c>
      <c r="G384" s="1">
        <v>2020</v>
      </c>
      <c r="H384" s="1" t="str">
        <f>IF(tblFLOWOD[[#This Row],[nama_asal]]=tblFLOWOD[[#This Row],[nama_tujuan]],"keluar","isi")</f>
        <v>isi</v>
      </c>
      <c r="I384" s="1" t="str">
        <f>METADATA_SOURCES!$A$2</f>
        <v>SRC001</v>
      </c>
    </row>
    <row r="385" spans="1:9" x14ac:dyDescent="0.3">
      <c r="A385" s="1">
        <v>32</v>
      </c>
      <c r="B385" s="1" t="s">
        <v>53</v>
      </c>
      <c r="C385" s="1">
        <v>21</v>
      </c>
      <c r="D385" s="1" t="s">
        <v>51</v>
      </c>
      <c r="E385" s="8">
        <v>5696</v>
      </c>
      <c r="F385" s="1" t="s">
        <v>81</v>
      </c>
      <c r="G385" s="1">
        <v>2020</v>
      </c>
      <c r="H385" s="1" t="str">
        <f>IF(tblFLOWOD[[#This Row],[nama_asal]]=tblFLOWOD[[#This Row],[nama_tujuan]],"keluar","isi")</f>
        <v>isi</v>
      </c>
      <c r="I385" s="1" t="str">
        <f>METADATA_SOURCES!$A$2</f>
        <v>SRC001</v>
      </c>
    </row>
    <row r="386" spans="1:9" x14ac:dyDescent="0.3">
      <c r="A386" s="1">
        <v>32</v>
      </c>
      <c r="B386" s="1" t="s">
        <v>53</v>
      </c>
      <c r="C386" s="1">
        <v>31</v>
      </c>
      <c r="D386" s="1" t="s">
        <v>52</v>
      </c>
      <c r="E386" s="8">
        <v>76296</v>
      </c>
      <c r="F386" s="1" t="s">
        <v>81</v>
      </c>
      <c r="G386" s="1">
        <v>2020</v>
      </c>
      <c r="H386" s="1" t="str">
        <f>IF(tblFLOWOD[[#This Row],[nama_asal]]=tblFLOWOD[[#This Row],[nama_tujuan]],"keluar","isi")</f>
        <v>isi</v>
      </c>
      <c r="I386" s="1" t="str">
        <f>METADATA_SOURCES!$A$2</f>
        <v>SRC001</v>
      </c>
    </row>
    <row r="387" spans="1:9" x14ac:dyDescent="0.3">
      <c r="A387" s="1">
        <v>32</v>
      </c>
      <c r="B387" s="1" t="s">
        <v>53</v>
      </c>
      <c r="C387" s="1">
        <v>32</v>
      </c>
      <c r="D387" s="1" t="s">
        <v>53</v>
      </c>
      <c r="E387" s="8">
        <v>44733640</v>
      </c>
      <c r="F387" s="1" t="s">
        <v>81</v>
      </c>
      <c r="G387" s="1">
        <v>2020</v>
      </c>
      <c r="H387" s="1" t="str">
        <f>IF(tblFLOWOD[[#This Row],[nama_asal]]=tblFLOWOD[[#This Row],[nama_tujuan]],"keluar","isi")</f>
        <v>keluar</v>
      </c>
      <c r="I387" s="1" t="str">
        <f>METADATA_SOURCES!$A$2</f>
        <v>SRC001</v>
      </c>
    </row>
    <row r="388" spans="1:9" x14ac:dyDescent="0.3">
      <c r="A388" s="1">
        <v>32</v>
      </c>
      <c r="B388" s="1" t="s">
        <v>53</v>
      </c>
      <c r="C388" s="1">
        <v>33</v>
      </c>
      <c r="D388" s="1" t="s">
        <v>54</v>
      </c>
      <c r="E388" s="8">
        <v>173999</v>
      </c>
      <c r="F388" s="1" t="s">
        <v>81</v>
      </c>
      <c r="G388" s="1">
        <v>2020</v>
      </c>
      <c r="H388" s="1" t="str">
        <f>IF(tblFLOWOD[[#This Row],[nama_asal]]=tblFLOWOD[[#This Row],[nama_tujuan]],"keluar","isi")</f>
        <v>isi</v>
      </c>
      <c r="I388" s="1" t="str">
        <f>METADATA_SOURCES!$A$2</f>
        <v>SRC001</v>
      </c>
    </row>
    <row r="389" spans="1:9" x14ac:dyDescent="0.3">
      <c r="A389" s="1">
        <v>32</v>
      </c>
      <c r="B389" s="1" t="s">
        <v>53</v>
      </c>
      <c r="C389" s="1">
        <v>34</v>
      </c>
      <c r="D389" s="1" t="s">
        <v>55</v>
      </c>
      <c r="E389" s="8">
        <v>24533</v>
      </c>
      <c r="F389" s="1" t="s">
        <v>81</v>
      </c>
      <c r="G389" s="1">
        <v>2020</v>
      </c>
      <c r="H389" s="1" t="str">
        <f>IF(tblFLOWOD[[#This Row],[nama_asal]]=tblFLOWOD[[#This Row],[nama_tujuan]],"keluar","isi")</f>
        <v>isi</v>
      </c>
      <c r="I389" s="1" t="str">
        <f>METADATA_SOURCES!$A$2</f>
        <v>SRC001</v>
      </c>
    </row>
    <row r="390" spans="1:9" x14ac:dyDescent="0.3">
      <c r="A390" s="1">
        <v>32</v>
      </c>
      <c r="B390" s="1" t="s">
        <v>53</v>
      </c>
      <c r="C390" s="1">
        <v>35</v>
      </c>
      <c r="D390" s="1" t="s">
        <v>56</v>
      </c>
      <c r="E390" s="8">
        <v>36330</v>
      </c>
      <c r="F390" s="1" t="s">
        <v>81</v>
      </c>
      <c r="G390" s="1">
        <v>2020</v>
      </c>
      <c r="H390" s="1" t="str">
        <f>IF(tblFLOWOD[[#This Row],[nama_asal]]=tblFLOWOD[[#This Row],[nama_tujuan]],"keluar","isi")</f>
        <v>isi</v>
      </c>
      <c r="I390" s="1" t="str">
        <f>METADATA_SOURCES!$A$2</f>
        <v>SRC001</v>
      </c>
    </row>
    <row r="391" spans="1:9" x14ac:dyDescent="0.3">
      <c r="A391" s="1">
        <v>32</v>
      </c>
      <c r="B391" s="1" t="s">
        <v>53</v>
      </c>
      <c r="C391" s="1">
        <v>36</v>
      </c>
      <c r="D391" s="1" t="s">
        <v>57</v>
      </c>
      <c r="E391" s="8">
        <v>52798</v>
      </c>
      <c r="F391" s="1" t="s">
        <v>81</v>
      </c>
      <c r="G391" s="1">
        <v>2020</v>
      </c>
      <c r="H391" s="1" t="str">
        <f>IF(tblFLOWOD[[#This Row],[nama_asal]]=tblFLOWOD[[#This Row],[nama_tujuan]],"keluar","isi")</f>
        <v>isi</v>
      </c>
      <c r="I391" s="1" t="str">
        <f>METADATA_SOURCES!$A$2</f>
        <v>SRC001</v>
      </c>
    </row>
    <row r="392" spans="1:9" x14ac:dyDescent="0.3">
      <c r="A392" s="1">
        <v>32</v>
      </c>
      <c r="B392" s="1" t="s">
        <v>53</v>
      </c>
      <c r="C392" s="1">
        <v>51</v>
      </c>
      <c r="D392" s="1" t="s">
        <v>58</v>
      </c>
      <c r="E392" s="8">
        <v>2879</v>
      </c>
      <c r="F392" s="1" t="s">
        <v>81</v>
      </c>
      <c r="G392" s="1">
        <v>2020</v>
      </c>
      <c r="H392" s="1" t="str">
        <f>IF(tblFLOWOD[[#This Row],[nama_asal]]=tblFLOWOD[[#This Row],[nama_tujuan]],"keluar","isi")</f>
        <v>isi</v>
      </c>
      <c r="I392" s="1" t="str">
        <f>METADATA_SOURCES!$A$2</f>
        <v>SRC001</v>
      </c>
    </row>
    <row r="393" spans="1:9" x14ac:dyDescent="0.3">
      <c r="A393" s="1">
        <v>32</v>
      </c>
      <c r="B393" s="1" t="s">
        <v>53</v>
      </c>
      <c r="C393" s="1">
        <v>52</v>
      </c>
      <c r="D393" s="1" t="s">
        <v>59</v>
      </c>
      <c r="E393" s="8">
        <v>4348</v>
      </c>
      <c r="F393" s="1" t="s">
        <v>81</v>
      </c>
      <c r="G393" s="1">
        <v>2020</v>
      </c>
      <c r="H393" s="1" t="str">
        <f>IF(tblFLOWOD[[#This Row],[nama_asal]]=tblFLOWOD[[#This Row],[nama_tujuan]],"keluar","isi")</f>
        <v>isi</v>
      </c>
      <c r="I393" s="1" t="str">
        <f>METADATA_SOURCES!$A$2</f>
        <v>SRC001</v>
      </c>
    </row>
    <row r="394" spans="1:9" x14ac:dyDescent="0.3">
      <c r="A394" s="1">
        <v>32</v>
      </c>
      <c r="B394" s="1" t="s">
        <v>53</v>
      </c>
      <c r="C394" s="1">
        <v>53</v>
      </c>
      <c r="D394" s="1" t="s">
        <v>60</v>
      </c>
      <c r="E394" s="8">
        <v>3562</v>
      </c>
      <c r="F394" s="1" t="s">
        <v>81</v>
      </c>
      <c r="G394" s="1">
        <v>2020</v>
      </c>
      <c r="H394" s="1" t="str">
        <f>IF(tblFLOWOD[[#This Row],[nama_asal]]=tblFLOWOD[[#This Row],[nama_tujuan]],"keluar","isi")</f>
        <v>isi</v>
      </c>
      <c r="I394" s="1" t="str">
        <f>METADATA_SOURCES!$A$2</f>
        <v>SRC001</v>
      </c>
    </row>
    <row r="395" spans="1:9" x14ac:dyDescent="0.3">
      <c r="A395" s="1">
        <v>32</v>
      </c>
      <c r="B395" s="1" t="s">
        <v>53</v>
      </c>
      <c r="C395" s="1">
        <v>61</v>
      </c>
      <c r="D395" s="1" t="s">
        <v>61</v>
      </c>
      <c r="E395" s="8">
        <v>3473</v>
      </c>
      <c r="F395" s="1" t="s">
        <v>81</v>
      </c>
      <c r="G395" s="1">
        <v>2020</v>
      </c>
      <c r="H395" s="1" t="str">
        <f>IF(tblFLOWOD[[#This Row],[nama_asal]]=tblFLOWOD[[#This Row],[nama_tujuan]],"keluar","isi")</f>
        <v>isi</v>
      </c>
      <c r="I395" s="1" t="str">
        <f>METADATA_SOURCES!$A$2</f>
        <v>SRC001</v>
      </c>
    </row>
    <row r="396" spans="1:9" x14ac:dyDescent="0.3">
      <c r="A396" s="1">
        <v>32</v>
      </c>
      <c r="B396" s="1" t="s">
        <v>53</v>
      </c>
      <c r="C396" s="1">
        <v>62</v>
      </c>
      <c r="D396" s="1" t="s">
        <v>62</v>
      </c>
      <c r="E396" s="8">
        <v>3791</v>
      </c>
      <c r="F396" s="1" t="s">
        <v>81</v>
      </c>
      <c r="G396" s="1">
        <v>2020</v>
      </c>
      <c r="H396" s="1" t="str">
        <f>IF(tblFLOWOD[[#This Row],[nama_asal]]=tblFLOWOD[[#This Row],[nama_tujuan]],"keluar","isi")</f>
        <v>isi</v>
      </c>
      <c r="I396" s="1" t="str">
        <f>METADATA_SOURCES!$A$2</f>
        <v>SRC001</v>
      </c>
    </row>
    <row r="397" spans="1:9" x14ac:dyDescent="0.3">
      <c r="A397" s="1">
        <v>32</v>
      </c>
      <c r="B397" s="1" t="s">
        <v>53</v>
      </c>
      <c r="C397" s="1">
        <v>63</v>
      </c>
      <c r="D397" s="1" t="s">
        <v>63</v>
      </c>
      <c r="E397" s="8">
        <v>3106</v>
      </c>
      <c r="F397" s="1" t="s">
        <v>81</v>
      </c>
      <c r="G397" s="1">
        <v>2020</v>
      </c>
      <c r="H397" s="1" t="str">
        <f>IF(tblFLOWOD[[#This Row],[nama_asal]]=tblFLOWOD[[#This Row],[nama_tujuan]],"keluar","isi")</f>
        <v>isi</v>
      </c>
      <c r="I397" s="1" t="str">
        <f>METADATA_SOURCES!$A$2</f>
        <v>SRC001</v>
      </c>
    </row>
    <row r="398" spans="1:9" x14ac:dyDescent="0.3">
      <c r="A398" s="1">
        <v>32</v>
      </c>
      <c r="B398" s="1" t="s">
        <v>53</v>
      </c>
      <c r="C398" s="1">
        <v>64</v>
      </c>
      <c r="D398" s="1" t="s">
        <v>64</v>
      </c>
      <c r="E398" s="8">
        <v>4293</v>
      </c>
      <c r="F398" s="1" t="s">
        <v>81</v>
      </c>
      <c r="G398" s="1">
        <v>2020</v>
      </c>
      <c r="H398" s="1" t="str">
        <f>IF(tblFLOWOD[[#This Row],[nama_asal]]=tblFLOWOD[[#This Row],[nama_tujuan]],"keluar","isi")</f>
        <v>isi</v>
      </c>
      <c r="I398" s="1" t="str">
        <f>METADATA_SOURCES!$A$2</f>
        <v>SRC001</v>
      </c>
    </row>
    <row r="399" spans="1:9" x14ac:dyDescent="0.3">
      <c r="A399" s="1">
        <v>32</v>
      </c>
      <c r="B399" s="1" t="s">
        <v>53</v>
      </c>
      <c r="C399" s="1">
        <v>65</v>
      </c>
      <c r="D399" s="1" t="s">
        <v>65</v>
      </c>
      <c r="E399" s="8">
        <v>695</v>
      </c>
      <c r="F399" s="1" t="s">
        <v>81</v>
      </c>
      <c r="G399" s="1">
        <v>2020</v>
      </c>
      <c r="H399" s="1" t="str">
        <f>IF(tblFLOWOD[[#This Row],[nama_asal]]=tblFLOWOD[[#This Row],[nama_tujuan]],"keluar","isi")</f>
        <v>isi</v>
      </c>
      <c r="I399" s="1" t="str">
        <f>METADATA_SOURCES!$A$2</f>
        <v>SRC001</v>
      </c>
    </row>
    <row r="400" spans="1:9" x14ac:dyDescent="0.3">
      <c r="A400" s="1">
        <v>32</v>
      </c>
      <c r="B400" s="1" t="s">
        <v>53</v>
      </c>
      <c r="C400" s="1">
        <v>71</v>
      </c>
      <c r="D400" s="1" t="s">
        <v>66</v>
      </c>
      <c r="E400" s="8">
        <v>1856</v>
      </c>
      <c r="F400" s="1" t="s">
        <v>81</v>
      </c>
      <c r="G400" s="1">
        <v>2020</v>
      </c>
      <c r="H400" s="1" t="str">
        <f>IF(tblFLOWOD[[#This Row],[nama_asal]]=tblFLOWOD[[#This Row],[nama_tujuan]],"keluar","isi")</f>
        <v>isi</v>
      </c>
      <c r="I400" s="1" t="str">
        <f>METADATA_SOURCES!$A$2</f>
        <v>SRC001</v>
      </c>
    </row>
    <row r="401" spans="1:9" x14ac:dyDescent="0.3">
      <c r="A401" s="1">
        <v>32</v>
      </c>
      <c r="B401" s="1" t="s">
        <v>53</v>
      </c>
      <c r="C401" s="1">
        <v>72</v>
      </c>
      <c r="D401" s="1" t="s">
        <v>67</v>
      </c>
      <c r="E401" s="8">
        <v>1513</v>
      </c>
      <c r="F401" s="1" t="s">
        <v>81</v>
      </c>
      <c r="G401" s="1">
        <v>2020</v>
      </c>
      <c r="H401" s="1" t="str">
        <f>IF(tblFLOWOD[[#This Row],[nama_asal]]=tblFLOWOD[[#This Row],[nama_tujuan]],"keluar","isi")</f>
        <v>isi</v>
      </c>
      <c r="I401" s="1" t="str">
        <f>METADATA_SOURCES!$A$2</f>
        <v>SRC001</v>
      </c>
    </row>
    <row r="402" spans="1:9" x14ac:dyDescent="0.3">
      <c r="A402" s="1">
        <v>32</v>
      </c>
      <c r="B402" s="1" t="s">
        <v>53</v>
      </c>
      <c r="C402" s="1">
        <v>73</v>
      </c>
      <c r="D402" s="1" t="s">
        <v>68</v>
      </c>
      <c r="E402" s="8">
        <v>4636</v>
      </c>
      <c r="F402" s="1" t="s">
        <v>81</v>
      </c>
      <c r="G402" s="1">
        <v>2020</v>
      </c>
      <c r="H402" s="1" t="str">
        <f>IF(tblFLOWOD[[#This Row],[nama_asal]]=tblFLOWOD[[#This Row],[nama_tujuan]],"keluar","isi")</f>
        <v>isi</v>
      </c>
      <c r="I402" s="1" t="str">
        <f>METADATA_SOURCES!$A$2</f>
        <v>SRC001</v>
      </c>
    </row>
    <row r="403" spans="1:9" x14ac:dyDescent="0.3">
      <c r="A403" s="1">
        <v>32</v>
      </c>
      <c r="B403" s="1" t="s">
        <v>53</v>
      </c>
      <c r="C403" s="1">
        <v>74</v>
      </c>
      <c r="D403" s="1" t="s">
        <v>69</v>
      </c>
      <c r="E403" s="8">
        <v>1574</v>
      </c>
      <c r="F403" s="1" t="s">
        <v>81</v>
      </c>
      <c r="G403" s="1">
        <v>2020</v>
      </c>
      <c r="H403" s="1" t="str">
        <f>IF(tblFLOWOD[[#This Row],[nama_asal]]=tblFLOWOD[[#This Row],[nama_tujuan]],"keluar","isi")</f>
        <v>isi</v>
      </c>
      <c r="I403" s="1" t="str">
        <f>METADATA_SOURCES!$A$2</f>
        <v>SRC001</v>
      </c>
    </row>
    <row r="404" spans="1:9" x14ac:dyDescent="0.3">
      <c r="A404" s="1">
        <v>32</v>
      </c>
      <c r="B404" s="1" t="s">
        <v>53</v>
      </c>
      <c r="C404" s="1">
        <v>75</v>
      </c>
      <c r="D404" s="1" t="s">
        <v>70</v>
      </c>
      <c r="E404" s="8">
        <v>577</v>
      </c>
      <c r="F404" s="1" t="s">
        <v>81</v>
      </c>
      <c r="G404" s="1">
        <v>2020</v>
      </c>
      <c r="H404" s="1" t="str">
        <f>IF(tblFLOWOD[[#This Row],[nama_asal]]=tblFLOWOD[[#This Row],[nama_tujuan]],"keluar","isi")</f>
        <v>isi</v>
      </c>
      <c r="I404" s="1" t="str">
        <f>METADATA_SOURCES!$A$2</f>
        <v>SRC001</v>
      </c>
    </row>
    <row r="405" spans="1:9" x14ac:dyDescent="0.3">
      <c r="A405" s="1">
        <v>32</v>
      </c>
      <c r="B405" s="1" t="s">
        <v>53</v>
      </c>
      <c r="C405" s="1">
        <v>76</v>
      </c>
      <c r="D405" s="1" t="s">
        <v>71</v>
      </c>
      <c r="E405" s="8">
        <v>386</v>
      </c>
      <c r="F405" s="1" t="s">
        <v>81</v>
      </c>
      <c r="G405" s="1">
        <v>2020</v>
      </c>
      <c r="H405" s="1" t="str">
        <f>IF(tblFLOWOD[[#This Row],[nama_asal]]=tblFLOWOD[[#This Row],[nama_tujuan]],"keluar","isi")</f>
        <v>isi</v>
      </c>
      <c r="I405" s="1" t="str">
        <f>METADATA_SOURCES!$A$2</f>
        <v>SRC001</v>
      </c>
    </row>
    <row r="406" spans="1:9" x14ac:dyDescent="0.3">
      <c r="A406" s="1">
        <v>32</v>
      </c>
      <c r="B406" s="1" t="s">
        <v>53</v>
      </c>
      <c r="C406" s="1">
        <v>81</v>
      </c>
      <c r="D406" s="1" t="s">
        <v>72</v>
      </c>
      <c r="E406" s="8">
        <v>1733</v>
      </c>
      <c r="F406" s="1" t="s">
        <v>81</v>
      </c>
      <c r="G406" s="1">
        <v>2020</v>
      </c>
      <c r="H406" s="1" t="str">
        <f>IF(tblFLOWOD[[#This Row],[nama_asal]]=tblFLOWOD[[#This Row],[nama_tujuan]],"keluar","isi")</f>
        <v>isi</v>
      </c>
      <c r="I406" s="1" t="str">
        <f>METADATA_SOURCES!$A$2</f>
        <v>SRC001</v>
      </c>
    </row>
    <row r="407" spans="1:9" x14ac:dyDescent="0.3">
      <c r="A407" s="1">
        <v>32</v>
      </c>
      <c r="B407" s="1" t="s">
        <v>53</v>
      </c>
      <c r="C407" s="1">
        <v>82</v>
      </c>
      <c r="D407" s="1" t="s">
        <v>73</v>
      </c>
      <c r="E407" s="8">
        <v>490</v>
      </c>
      <c r="F407" s="1" t="s">
        <v>81</v>
      </c>
      <c r="G407" s="1">
        <v>2020</v>
      </c>
      <c r="H407" s="1" t="str">
        <f>IF(tblFLOWOD[[#This Row],[nama_asal]]=tblFLOWOD[[#This Row],[nama_tujuan]],"keluar","isi")</f>
        <v>isi</v>
      </c>
      <c r="I407" s="1" t="str">
        <f>METADATA_SOURCES!$A$2</f>
        <v>SRC001</v>
      </c>
    </row>
    <row r="408" spans="1:9" x14ac:dyDescent="0.3">
      <c r="A408" s="1">
        <v>32</v>
      </c>
      <c r="B408" s="1" t="s">
        <v>53</v>
      </c>
      <c r="C408" s="1">
        <v>91</v>
      </c>
      <c r="D408" s="1" t="s">
        <v>74</v>
      </c>
      <c r="E408" s="8">
        <v>1086</v>
      </c>
      <c r="F408" s="1" t="s">
        <v>81</v>
      </c>
      <c r="G408" s="1">
        <v>2020</v>
      </c>
      <c r="H408" s="1" t="str">
        <f>IF(tblFLOWOD[[#This Row],[nama_asal]]=tblFLOWOD[[#This Row],[nama_tujuan]],"keluar","isi")</f>
        <v>isi</v>
      </c>
      <c r="I408" s="1" t="str">
        <f>METADATA_SOURCES!$A$2</f>
        <v>SRC001</v>
      </c>
    </row>
    <row r="409" spans="1:9" x14ac:dyDescent="0.3">
      <c r="A409" s="1">
        <v>32</v>
      </c>
      <c r="B409" s="1" t="s">
        <v>53</v>
      </c>
      <c r="C409" s="1">
        <v>94</v>
      </c>
      <c r="D409" s="1" t="s">
        <v>75</v>
      </c>
      <c r="E409" s="8">
        <v>1124</v>
      </c>
      <c r="F409" s="1" t="s">
        <v>81</v>
      </c>
      <c r="G409" s="1">
        <v>2020</v>
      </c>
      <c r="H409" s="1" t="str">
        <f>IF(tblFLOWOD[[#This Row],[nama_asal]]=tblFLOWOD[[#This Row],[nama_tujuan]],"keluar","isi")</f>
        <v>isi</v>
      </c>
      <c r="I409" s="1" t="str">
        <f>METADATA_SOURCES!$A$2</f>
        <v>SRC001</v>
      </c>
    </row>
    <row r="410" spans="1:9" x14ac:dyDescent="0.3">
      <c r="A410" s="1">
        <v>33</v>
      </c>
      <c r="B410" s="1" t="s">
        <v>54</v>
      </c>
      <c r="C410" s="1">
        <v>11</v>
      </c>
      <c r="D410" s="1" t="s">
        <v>42</v>
      </c>
      <c r="E410" s="8">
        <v>1191</v>
      </c>
      <c r="F410" s="1" t="s">
        <v>81</v>
      </c>
      <c r="G410" s="1">
        <v>2020</v>
      </c>
      <c r="H410" s="1" t="str">
        <f>IF(tblFLOWOD[[#This Row],[nama_asal]]=tblFLOWOD[[#This Row],[nama_tujuan]],"keluar","isi")</f>
        <v>isi</v>
      </c>
      <c r="I410" s="1" t="str">
        <f>METADATA_SOURCES!$A$2</f>
        <v>SRC001</v>
      </c>
    </row>
    <row r="411" spans="1:9" x14ac:dyDescent="0.3">
      <c r="A411" s="1">
        <v>33</v>
      </c>
      <c r="B411" s="1" t="s">
        <v>54</v>
      </c>
      <c r="C411" s="1">
        <v>12</v>
      </c>
      <c r="D411" s="1" t="s">
        <v>43</v>
      </c>
      <c r="E411" s="8">
        <v>3180</v>
      </c>
      <c r="F411" s="1" t="s">
        <v>81</v>
      </c>
      <c r="G411" s="1">
        <v>2020</v>
      </c>
      <c r="H411" s="1" t="str">
        <f>IF(tblFLOWOD[[#This Row],[nama_asal]]=tblFLOWOD[[#This Row],[nama_tujuan]],"keluar","isi")</f>
        <v>isi</v>
      </c>
      <c r="I411" s="1" t="str">
        <f>METADATA_SOURCES!$A$2</f>
        <v>SRC001</v>
      </c>
    </row>
    <row r="412" spans="1:9" x14ac:dyDescent="0.3">
      <c r="A412" s="1">
        <v>33</v>
      </c>
      <c r="B412" s="1" t="s">
        <v>54</v>
      </c>
      <c r="C412" s="1">
        <v>13</v>
      </c>
      <c r="D412" s="1" t="s">
        <v>44</v>
      </c>
      <c r="E412" s="8">
        <v>4552</v>
      </c>
      <c r="F412" s="1" t="s">
        <v>81</v>
      </c>
      <c r="G412" s="1">
        <v>2020</v>
      </c>
      <c r="H412" s="1" t="str">
        <f>IF(tblFLOWOD[[#This Row],[nama_asal]]=tblFLOWOD[[#This Row],[nama_tujuan]],"keluar","isi")</f>
        <v>isi</v>
      </c>
      <c r="I412" s="1" t="str">
        <f>METADATA_SOURCES!$A$2</f>
        <v>SRC001</v>
      </c>
    </row>
    <row r="413" spans="1:9" x14ac:dyDescent="0.3">
      <c r="A413" s="1">
        <v>33</v>
      </c>
      <c r="B413" s="1" t="s">
        <v>54</v>
      </c>
      <c r="C413" s="1">
        <v>14</v>
      </c>
      <c r="D413" s="1" t="s">
        <v>45</v>
      </c>
      <c r="E413" s="8">
        <v>5884</v>
      </c>
      <c r="F413" s="1" t="s">
        <v>81</v>
      </c>
      <c r="G413" s="1">
        <v>2020</v>
      </c>
      <c r="H413" s="1" t="str">
        <f>IF(tblFLOWOD[[#This Row],[nama_asal]]=tblFLOWOD[[#This Row],[nama_tujuan]],"keluar","isi")</f>
        <v>isi</v>
      </c>
      <c r="I413" s="1" t="str">
        <f>METADATA_SOURCES!$A$2</f>
        <v>SRC001</v>
      </c>
    </row>
    <row r="414" spans="1:9" x14ac:dyDescent="0.3">
      <c r="A414" s="1">
        <v>33</v>
      </c>
      <c r="B414" s="1" t="s">
        <v>54</v>
      </c>
      <c r="C414" s="1">
        <v>15</v>
      </c>
      <c r="D414" s="1" t="s">
        <v>46</v>
      </c>
      <c r="E414" s="8">
        <v>3741</v>
      </c>
      <c r="F414" s="1" t="s">
        <v>81</v>
      </c>
      <c r="G414" s="1">
        <v>2020</v>
      </c>
      <c r="H414" s="1" t="str">
        <f>IF(tblFLOWOD[[#This Row],[nama_asal]]=tblFLOWOD[[#This Row],[nama_tujuan]],"keluar","isi")</f>
        <v>isi</v>
      </c>
      <c r="I414" s="1" t="str">
        <f>METADATA_SOURCES!$A$2</f>
        <v>SRC001</v>
      </c>
    </row>
    <row r="415" spans="1:9" x14ac:dyDescent="0.3">
      <c r="A415" s="1">
        <v>33</v>
      </c>
      <c r="B415" s="1" t="s">
        <v>54</v>
      </c>
      <c r="C415" s="1">
        <v>16</v>
      </c>
      <c r="D415" s="1" t="s">
        <v>47</v>
      </c>
      <c r="E415" s="8">
        <v>6659</v>
      </c>
      <c r="F415" s="1" t="s">
        <v>81</v>
      </c>
      <c r="G415" s="1">
        <v>2020</v>
      </c>
      <c r="H415" s="1" t="str">
        <f>IF(tblFLOWOD[[#This Row],[nama_asal]]=tblFLOWOD[[#This Row],[nama_tujuan]],"keluar","isi")</f>
        <v>isi</v>
      </c>
      <c r="I415" s="1" t="str">
        <f>METADATA_SOURCES!$A$2</f>
        <v>SRC001</v>
      </c>
    </row>
    <row r="416" spans="1:9" x14ac:dyDescent="0.3">
      <c r="A416" s="1">
        <v>33</v>
      </c>
      <c r="B416" s="1" t="s">
        <v>54</v>
      </c>
      <c r="C416" s="1">
        <v>17</v>
      </c>
      <c r="D416" s="1" t="s">
        <v>48</v>
      </c>
      <c r="E416" s="8">
        <v>1857</v>
      </c>
      <c r="F416" s="1" t="s">
        <v>81</v>
      </c>
      <c r="G416" s="1">
        <v>2020</v>
      </c>
      <c r="H416" s="1" t="str">
        <f>IF(tblFLOWOD[[#This Row],[nama_asal]]=tblFLOWOD[[#This Row],[nama_tujuan]],"keluar","isi")</f>
        <v>isi</v>
      </c>
      <c r="I416" s="1" t="str">
        <f>METADATA_SOURCES!$A$2</f>
        <v>SRC001</v>
      </c>
    </row>
    <row r="417" spans="1:9" x14ac:dyDescent="0.3">
      <c r="A417" s="1">
        <v>33</v>
      </c>
      <c r="B417" s="1" t="s">
        <v>54</v>
      </c>
      <c r="C417" s="1">
        <v>18</v>
      </c>
      <c r="D417" s="1" t="s">
        <v>49</v>
      </c>
      <c r="E417" s="8">
        <v>8402</v>
      </c>
      <c r="F417" s="1" t="s">
        <v>81</v>
      </c>
      <c r="G417" s="1">
        <v>2020</v>
      </c>
      <c r="H417" s="1" t="str">
        <f>IF(tblFLOWOD[[#This Row],[nama_asal]]=tblFLOWOD[[#This Row],[nama_tujuan]],"keluar","isi")</f>
        <v>isi</v>
      </c>
      <c r="I417" s="1" t="str">
        <f>METADATA_SOURCES!$A$2</f>
        <v>SRC001</v>
      </c>
    </row>
    <row r="418" spans="1:9" x14ac:dyDescent="0.3">
      <c r="A418" s="1">
        <v>33</v>
      </c>
      <c r="B418" s="1" t="s">
        <v>54</v>
      </c>
      <c r="C418" s="1">
        <v>19</v>
      </c>
      <c r="D418" s="1" t="s">
        <v>50</v>
      </c>
      <c r="E418" s="8">
        <v>2072</v>
      </c>
      <c r="F418" s="1" t="s">
        <v>81</v>
      </c>
      <c r="G418" s="1">
        <v>2020</v>
      </c>
      <c r="H418" s="1" t="str">
        <f>IF(tblFLOWOD[[#This Row],[nama_asal]]=tblFLOWOD[[#This Row],[nama_tujuan]],"keluar","isi")</f>
        <v>isi</v>
      </c>
      <c r="I418" s="1" t="str">
        <f>METADATA_SOURCES!$A$2</f>
        <v>SRC001</v>
      </c>
    </row>
    <row r="419" spans="1:9" x14ac:dyDescent="0.3">
      <c r="A419" s="1">
        <v>33</v>
      </c>
      <c r="B419" s="1" t="s">
        <v>54</v>
      </c>
      <c r="C419" s="1">
        <v>21</v>
      </c>
      <c r="D419" s="1" t="s">
        <v>51</v>
      </c>
      <c r="E419" s="8">
        <v>6625</v>
      </c>
      <c r="F419" s="1" t="s">
        <v>81</v>
      </c>
      <c r="G419" s="1">
        <v>2020</v>
      </c>
      <c r="H419" s="1" t="str">
        <f>IF(tblFLOWOD[[#This Row],[nama_asal]]=tblFLOWOD[[#This Row],[nama_tujuan]],"keluar","isi")</f>
        <v>isi</v>
      </c>
      <c r="I419" s="1" t="str">
        <f>METADATA_SOURCES!$A$2</f>
        <v>SRC001</v>
      </c>
    </row>
    <row r="420" spans="1:9" x14ac:dyDescent="0.3">
      <c r="A420" s="1">
        <v>33</v>
      </c>
      <c r="B420" s="1" t="s">
        <v>54</v>
      </c>
      <c r="C420" s="1">
        <v>31</v>
      </c>
      <c r="D420" s="1" t="s">
        <v>52</v>
      </c>
      <c r="E420" s="8">
        <v>48201</v>
      </c>
      <c r="F420" s="1" t="s">
        <v>81</v>
      </c>
      <c r="G420" s="1">
        <v>2020</v>
      </c>
      <c r="H420" s="1" t="str">
        <f>IF(tblFLOWOD[[#This Row],[nama_asal]]=tblFLOWOD[[#This Row],[nama_tujuan]],"keluar","isi")</f>
        <v>isi</v>
      </c>
      <c r="I420" s="1" t="str">
        <f>METADATA_SOURCES!$A$2</f>
        <v>SRC001</v>
      </c>
    </row>
    <row r="421" spans="1:9" x14ac:dyDescent="0.3">
      <c r="A421" s="1">
        <v>33</v>
      </c>
      <c r="B421" s="1" t="s">
        <v>54</v>
      </c>
      <c r="C421" s="1">
        <v>32</v>
      </c>
      <c r="D421" s="1" t="s">
        <v>53</v>
      </c>
      <c r="E421" s="8">
        <v>123205</v>
      </c>
      <c r="F421" s="1" t="s">
        <v>81</v>
      </c>
      <c r="G421" s="1">
        <v>2020</v>
      </c>
      <c r="H421" s="1" t="str">
        <f>IF(tblFLOWOD[[#This Row],[nama_asal]]=tblFLOWOD[[#This Row],[nama_tujuan]],"keluar","isi")</f>
        <v>isi</v>
      </c>
      <c r="I421" s="1" t="str">
        <f>METADATA_SOURCES!$A$2</f>
        <v>SRC001</v>
      </c>
    </row>
    <row r="422" spans="1:9" x14ac:dyDescent="0.3">
      <c r="A422" s="1">
        <v>33</v>
      </c>
      <c r="B422" s="1" t="s">
        <v>54</v>
      </c>
      <c r="C422" s="1">
        <v>33</v>
      </c>
      <c r="D422" s="1" t="s">
        <v>54</v>
      </c>
      <c r="E422" s="8">
        <v>33575160</v>
      </c>
      <c r="F422" s="1" t="s">
        <v>81</v>
      </c>
      <c r="G422" s="1">
        <v>2020</v>
      </c>
      <c r="H422" s="1" t="str">
        <f>IF(tblFLOWOD[[#This Row],[nama_asal]]=tblFLOWOD[[#This Row],[nama_tujuan]],"keluar","isi")</f>
        <v>keluar</v>
      </c>
      <c r="I422" s="1" t="str">
        <f>METADATA_SOURCES!$A$2</f>
        <v>SRC001</v>
      </c>
    </row>
    <row r="423" spans="1:9" x14ac:dyDescent="0.3">
      <c r="A423" s="1">
        <v>33</v>
      </c>
      <c r="B423" s="1" t="s">
        <v>54</v>
      </c>
      <c r="C423" s="1">
        <v>34</v>
      </c>
      <c r="D423" s="1" t="s">
        <v>55</v>
      </c>
      <c r="E423" s="8">
        <v>59708</v>
      </c>
      <c r="F423" s="1" t="s">
        <v>81</v>
      </c>
      <c r="G423" s="1">
        <v>2020</v>
      </c>
      <c r="H423" s="1" t="str">
        <f>IF(tblFLOWOD[[#This Row],[nama_asal]]=tblFLOWOD[[#This Row],[nama_tujuan]],"keluar","isi")</f>
        <v>isi</v>
      </c>
      <c r="I423" s="1" t="str">
        <f>METADATA_SOURCES!$A$2</f>
        <v>SRC001</v>
      </c>
    </row>
    <row r="424" spans="1:9" x14ac:dyDescent="0.3">
      <c r="A424" s="1">
        <v>33</v>
      </c>
      <c r="B424" s="1" t="s">
        <v>54</v>
      </c>
      <c r="C424" s="1">
        <v>35</v>
      </c>
      <c r="D424" s="1" t="s">
        <v>56</v>
      </c>
      <c r="E424" s="8">
        <v>47761</v>
      </c>
      <c r="F424" s="1" t="s">
        <v>81</v>
      </c>
      <c r="G424" s="1">
        <v>2020</v>
      </c>
      <c r="H424" s="1" t="str">
        <f>IF(tblFLOWOD[[#This Row],[nama_asal]]=tblFLOWOD[[#This Row],[nama_tujuan]],"keluar","isi")</f>
        <v>isi</v>
      </c>
      <c r="I424" s="1" t="str">
        <f>METADATA_SOURCES!$A$2</f>
        <v>SRC001</v>
      </c>
    </row>
    <row r="425" spans="1:9" x14ac:dyDescent="0.3">
      <c r="A425" s="1">
        <v>33</v>
      </c>
      <c r="B425" s="1" t="s">
        <v>54</v>
      </c>
      <c r="C425" s="1">
        <v>36</v>
      </c>
      <c r="D425" s="1" t="s">
        <v>57</v>
      </c>
      <c r="E425" s="8">
        <v>29622</v>
      </c>
      <c r="F425" s="1" t="s">
        <v>81</v>
      </c>
      <c r="G425" s="1">
        <v>2020</v>
      </c>
      <c r="H425" s="1" t="str">
        <f>IF(tblFLOWOD[[#This Row],[nama_asal]]=tblFLOWOD[[#This Row],[nama_tujuan]],"keluar","isi")</f>
        <v>isi</v>
      </c>
      <c r="I425" s="1" t="str">
        <f>METADATA_SOURCES!$A$2</f>
        <v>SRC001</v>
      </c>
    </row>
    <row r="426" spans="1:9" x14ac:dyDescent="0.3">
      <c r="A426" s="1">
        <v>33</v>
      </c>
      <c r="B426" s="1" t="s">
        <v>54</v>
      </c>
      <c r="C426" s="1">
        <v>51</v>
      </c>
      <c r="D426" s="1" t="s">
        <v>58</v>
      </c>
      <c r="E426" s="8">
        <v>2469</v>
      </c>
      <c r="F426" s="1" t="s">
        <v>81</v>
      </c>
      <c r="G426" s="1">
        <v>2020</v>
      </c>
      <c r="H426" s="1" t="str">
        <f>IF(tblFLOWOD[[#This Row],[nama_asal]]=tblFLOWOD[[#This Row],[nama_tujuan]],"keluar","isi")</f>
        <v>isi</v>
      </c>
      <c r="I426" s="1" t="str">
        <f>METADATA_SOURCES!$A$2</f>
        <v>SRC001</v>
      </c>
    </row>
    <row r="427" spans="1:9" x14ac:dyDescent="0.3">
      <c r="A427" s="1">
        <v>33</v>
      </c>
      <c r="B427" s="1" t="s">
        <v>54</v>
      </c>
      <c r="C427" s="1">
        <v>52</v>
      </c>
      <c r="D427" s="1" t="s">
        <v>59</v>
      </c>
      <c r="E427" s="8">
        <v>3019</v>
      </c>
      <c r="F427" s="1" t="s">
        <v>81</v>
      </c>
      <c r="G427" s="1">
        <v>2020</v>
      </c>
      <c r="H427" s="1" t="str">
        <f>IF(tblFLOWOD[[#This Row],[nama_asal]]=tblFLOWOD[[#This Row],[nama_tujuan]],"keluar","isi")</f>
        <v>isi</v>
      </c>
      <c r="I427" s="1" t="str">
        <f>METADATA_SOURCES!$A$2</f>
        <v>SRC001</v>
      </c>
    </row>
    <row r="428" spans="1:9" x14ac:dyDescent="0.3">
      <c r="A428" s="1">
        <v>33</v>
      </c>
      <c r="B428" s="1" t="s">
        <v>54</v>
      </c>
      <c r="C428" s="1">
        <v>53</v>
      </c>
      <c r="D428" s="1" t="s">
        <v>60</v>
      </c>
      <c r="E428" s="8">
        <v>2783</v>
      </c>
      <c r="F428" s="1" t="s">
        <v>81</v>
      </c>
      <c r="G428" s="1">
        <v>2020</v>
      </c>
      <c r="H428" s="1" t="str">
        <f>IF(tblFLOWOD[[#This Row],[nama_asal]]=tblFLOWOD[[#This Row],[nama_tujuan]],"keluar","isi")</f>
        <v>isi</v>
      </c>
      <c r="I428" s="1" t="str">
        <f>METADATA_SOURCES!$A$2</f>
        <v>SRC001</v>
      </c>
    </row>
    <row r="429" spans="1:9" x14ac:dyDescent="0.3">
      <c r="A429" s="1">
        <v>33</v>
      </c>
      <c r="B429" s="1" t="s">
        <v>54</v>
      </c>
      <c r="C429" s="1">
        <v>61</v>
      </c>
      <c r="D429" s="1" t="s">
        <v>61</v>
      </c>
      <c r="E429" s="8">
        <v>6393</v>
      </c>
      <c r="F429" s="1" t="s">
        <v>81</v>
      </c>
      <c r="G429" s="1">
        <v>2020</v>
      </c>
      <c r="H429" s="1" t="str">
        <f>IF(tblFLOWOD[[#This Row],[nama_asal]]=tblFLOWOD[[#This Row],[nama_tujuan]],"keluar","isi")</f>
        <v>isi</v>
      </c>
      <c r="I429" s="1" t="str">
        <f>METADATA_SOURCES!$A$2</f>
        <v>SRC001</v>
      </c>
    </row>
    <row r="430" spans="1:9" x14ac:dyDescent="0.3">
      <c r="A430" s="1">
        <v>33</v>
      </c>
      <c r="B430" s="1" t="s">
        <v>54</v>
      </c>
      <c r="C430" s="1">
        <v>62</v>
      </c>
      <c r="D430" s="1" t="s">
        <v>62</v>
      </c>
      <c r="E430" s="8">
        <v>17670</v>
      </c>
      <c r="F430" s="1" t="s">
        <v>81</v>
      </c>
      <c r="G430" s="1">
        <v>2020</v>
      </c>
      <c r="H430" s="1" t="str">
        <f>IF(tblFLOWOD[[#This Row],[nama_asal]]=tblFLOWOD[[#This Row],[nama_tujuan]],"keluar","isi")</f>
        <v>isi</v>
      </c>
      <c r="I430" s="1" t="str">
        <f>METADATA_SOURCES!$A$2</f>
        <v>SRC001</v>
      </c>
    </row>
    <row r="431" spans="1:9" x14ac:dyDescent="0.3">
      <c r="A431" s="1">
        <v>33</v>
      </c>
      <c r="B431" s="1" t="s">
        <v>54</v>
      </c>
      <c r="C431" s="1">
        <v>63</v>
      </c>
      <c r="D431" s="1" t="s">
        <v>63</v>
      </c>
      <c r="E431" s="8">
        <v>4111</v>
      </c>
      <c r="F431" s="1" t="s">
        <v>81</v>
      </c>
      <c r="G431" s="1">
        <v>2020</v>
      </c>
      <c r="H431" s="1" t="str">
        <f>IF(tblFLOWOD[[#This Row],[nama_asal]]=tblFLOWOD[[#This Row],[nama_tujuan]],"keluar","isi")</f>
        <v>isi</v>
      </c>
      <c r="I431" s="1" t="str">
        <f>METADATA_SOURCES!$A$2</f>
        <v>SRC001</v>
      </c>
    </row>
    <row r="432" spans="1:9" x14ac:dyDescent="0.3">
      <c r="A432" s="1">
        <v>33</v>
      </c>
      <c r="B432" s="1" t="s">
        <v>54</v>
      </c>
      <c r="C432" s="1">
        <v>64</v>
      </c>
      <c r="D432" s="1" t="s">
        <v>64</v>
      </c>
      <c r="E432" s="8">
        <v>9142</v>
      </c>
      <c r="F432" s="1" t="s">
        <v>81</v>
      </c>
      <c r="G432" s="1">
        <v>2020</v>
      </c>
      <c r="H432" s="1" t="str">
        <f>IF(tblFLOWOD[[#This Row],[nama_asal]]=tblFLOWOD[[#This Row],[nama_tujuan]],"keluar","isi")</f>
        <v>isi</v>
      </c>
      <c r="I432" s="1" t="str">
        <f>METADATA_SOURCES!$A$2</f>
        <v>SRC001</v>
      </c>
    </row>
    <row r="433" spans="1:9" x14ac:dyDescent="0.3">
      <c r="A433" s="1">
        <v>33</v>
      </c>
      <c r="B433" s="1" t="s">
        <v>54</v>
      </c>
      <c r="C433" s="1">
        <v>65</v>
      </c>
      <c r="D433" s="1" t="s">
        <v>65</v>
      </c>
      <c r="E433" s="8">
        <v>1536</v>
      </c>
      <c r="F433" s="1" t="s">
        <v>81</v>
      </c>
      <c r="G433" s="1">
        <v>2020</v>
      </c>
      <c r="H433" s="1" t="str">
        <f>IF(tblFLOWOD[[#This Row],[nama_asal]]=tblFLOWOD[[#This Row],[nama_tujuan]],"keluar","isi")</f>
        <v>isi</v>
      </c>
      <c r="I433" s="1" t="str">
        <f>METADATA_SOURCES!$A$2</f>
        <v>SRC001</v>
      </c>
    </row>
    <row r="434" spans="1:9" x14ac:dyDescent="0.3">
      <c r="A434" s="1">
        <v>33</v>
      </c>
      <c r="B434" s="1" t="s">
        <v>54</v>
      </c>
      <c r="C434" s="1">
        <v>71</v>
      </c>
      <c r="D434" s="1" t="s">
        <v>66</v>
      </c>
      <c r="E434" s="8">
        <v>904</v>
      </c>
      <c r="F434" s="1" t="s">
        <v>81</v>
      </c>
      <c r="G434" s="1">
        <v>2020</v>
      </c>
      <c r="H434" s="1" t="str">
        <f>IF(tblFLOWOD[[#This Row],[nama_asal]]=tblFLOWOD[[#This Row],[nama_tujuan]],"keluar","isi")</f>
        <v>isi</v>
      </c>
      <c r="I434" s="1" t="str">
        <f>METADATA_SOURCES!$A$2</f>
        <v>SRC001</v>
      </c>
    </row>
    <row r="435" spans="1:9" x14ac:dyDescent="0.3">
      <c r="A435" s="1">
        <v>33</v>
      </c>
      <c r="B435" s="1" t="s">
        <v>54</v>
      </c>
      <c r="C435" s="1">
        <v>72</v>
      </c>
      <c r="D435" s="1" t="s">
        <v>67</v>
      </c>
      <c r="E435" s="8">
        <v>1114</v>
      </c>
      <c r="F435" s="1" t="s">
        <v>81</v>
      </c>
      <c r="G435" s="1">
        <v>2020</v>
      </c>
      <c r="H435" s="1" t="str">
        <f>IF(tblFLOWOD[[#This Row],[nama_asal]]=tblFLOWOD[[#This Row],[nama_tujuan]],"keluar","isi")</f>
        <v>isi</v>
      </c>
      <c r="I435" s="1" t="str">
        <f>METADATA_SOURCES!$A$2</f>
        <v>SRC001</v>
      </c>
    </row>
    <row r="436" spans="1:9" x14ac:dyDescent="0.3">
      <c r="A436" s="1">
        <v>33</v>
      </c>
      <c r="B436" s="1" t="s">
        <v>54</v>
      </c>
      <c r="C436" s="1">
        <v>73</v>
      </c>
      <c r="D436" s="1" t="s">
        <v>68</v>
      </c>
      <c r="E436" s="8">
        <v>3063</v>
      </c>
      <c r="F436" s="1" t="s">
        <v>81</v>
      </c>
      <c r="G436" s="1">
        <v>2020</v>
      </c>
      <c r="H436" s="1" t="str">
        <f>IF(tblFLOWOD[[#This Row],[nama_asal]]=tblFLOWOD[[#This Row],[nama_tujuan]],"keluar","isi")</f>
        <v>isi</v>
      </c>
      <c r="I436" s="1" t="str">
        <f>METADATA_SOURCES!$A$2</f>
        <v>SRC001</v>
      </c>
    </row>
    <row r="437" spans="1:9" x14ac:dyDescent="0.3">
      <c r="A437" s="1">
        <v>33</v>
      </c>
      <c r="B437" s="1" t="s">
        <v>54</v>
      </c>
      <c r="C437" s="1">
        <v>74</v>
      </c>
      <c r="D437" s="1" t="s">
        <v>69</v>
      </c>
      <c r="E437" s="8">
        <v>1125</v>
      </c>
      <c r="F437" s="1" t="s">
        <v>81</v>
      </c>
      <c r="G437" s="1">
        <v>2020</v>
      </c>
      <c r="H437" s="1" t="str">
        <f>IF(tblFLOWOD[[#This Row],[nama_asal]]=tblFLOWOD[[#This Row],[nama_tujuan]],"keluar","isi")</f>
        <v>isi</v>
      </c>
      <c r="I437" s="1" t="str">
        <f>METADATA_SOURCES!$A$2</f>
        <v>SRC001</v>
      </c>
    </row>
    <row r="438" spans="1:9" x14ac:dyDescent="0.3">
      <c r="A438" s="1">
        <v>33</v>
      </c>
      <c r="B438" s="1" t="s">
        <v>54</v>
      </c>
      <c r="C438" s="1">
        <v>75</v>
      </c>
      <c r="D438" s="1" t="s">
        <v>70</v>
      </c>
      <c r="E438" s="8">
        <v>206</v>
      </c>
      <c r="F438" s="1" t="s">
        <v>81</v>
      </c>
      <c r="G438" s="1">
        <v>2020</v>
      </c>
      <c r="H438" s="1" t="str">
        <f>IF(tblFLOWOD[[#This Row],[nama_asal]]=tblFLOWOD[[#This Row],[nama_tujuan]],"keluar","isi")</f>
        <v>isi</v>
      </c>
      <c r="I438" s="1" t="str">
        <f>METADATA_SOURCES!$A$2</f>
        <v>SRC001</v>
      </c>
    </row>
    <row r="439" spans="1:9" x14ac:dyDescent="0.3">
      <c r="A439" s="1">
        <v>33</v>
      </c>
      <c r="B439" s="1" t="s">
        <v>54</v>
      </c>
      <c r="C439" s="1">
        <v>76</v>
      </c>
      <c r="D439" s="1" t="s">
        <v>71</v>
      </c>
      <c r="E439" s="8">
        <v>436</v>
      </c>
      <c r="F439" s="1" t="s">
        <v>81</v>
      </c>
      <c r="G439" s="1">
        <v>2020</v>
      </c>
      <c r="H439" s="1" t="str">
        <f>IF(tblFLOWOD[[#This Row],[nama_asal]]=tblFLOWOD[[#This Row],[nama_tujuan]],"keluar","isi")</f>
        <v>isi</v>
      </c>
      <c r="I439" s="1" t="str">
        <f>METADATA_SOURCES!$A$2</f>
        <v>SRC001</v>
      </c>
    </row>
    <row r="440" spans="1:9" x14ac:dyDescent="0.3">
      <c r="A440" s="1">
        <v>33</v>
      </c>
      <c r="B440" s="1" t="s">
        <v>54</v>
      </c>
      <c r="C440" s="1">
        <v>81</v>
      </c>
      <c r="D440" s="1" t="s">
        <v>72</v>
      </c>
      <c r="E440" s="8">
        <v>867</v>
      </c>
      <c r="F440" s="1" t="s">
        <v>81</v>
      </c>
      <c r="G440" s="1">
        <v>2020</v>
      </c>
      <c r="H440" s="1" t="str">
        <f>IF(tblFLOWOD[[#This Row],[nama_asal]]=tblFLOWOD[[#This Row],[nama_tujuan]],"keluar","isi")</f>
        <v>isi</v>
      </c>
      <c r="I440" s="1" t="str">
        <f>METADATA_SOURCES!$A$2</f>
        <v>SRC001</v>
      </c>
    </row>
    <row r="441" spans="1:9" x14ac:dyDescent="0.3">
      <c r="A441" s="1">
        <v>33</v>
      </c>
      <c r="B441" s="1" t="s">
        <v>54</v>
      </c>
      <c r="C441" s="1">
        <v>82</v>
      </c>
      <c r="D441" s="1" t="s">
        <v>73</v>
      </c>
      <c r="E441" s="8">
        <v>696</v>
      </c>
      <c r="F441" s="1" t="s">
        <v>81</v>
      </c>
      <c r="G441" s="1">
        <v>2020</v>
      </c>
      <c r="H441" s="1" t="str">
        <f>IF(tblFLOWOD[[#This Row],[nama_asal]]=tblFLOWOD[[#This Row],[nama_tujuan]],"keluar","isi")</f>
        <v>isi</v>
      </c>
      <c r="I441" s="1" t="str">
        <f>METADATA_SOURCES!$A$2</f>
        <v>SRC001</v>
      </c>
    </row>
    <row r="442" spans="1:9" x14ac:dyDescent="0.3">
      <c r="A442" s="1">
        <v>33</v>
      </c>
      <c r="B442" s="1" t="s">
        <v>54</v>
      </c>
      <c r="C442" s="1">
        <v>91</v>
      </c>
      <c r="D442" s="1" t="s">
        <v>74</v>
      </c>
      <c r="E442" s="8">
        <v>1146</v>
      </c>
      <c r="F442" s="1" t="s">
        <v>81</v>
      </c>
      <c r="G442" s="1">
        <v>2020</v>
      </c>
      <c r="H442" s="1" t="str">
        <f>IF(tblFLOWOD[[#This Row],[nama_asal]]=tblFLOWOD[[#This Row],[nama_tujuan]],"keluar","isi")</f>
        <v>isi</v>
      </c>
      <c r="I442" s="1" t="str">
        <f>METADATA_SOURCES!$A$2</f>
        <v>SRC001</v>
      </c>
    </row>
    <row r="443" spans="1:9" x14ac:dyDescent="0.3">
      <c r="A443" s="1">
        <v>33</v>
      </c>
      <c r="B443" s="1" t="s">
        <v>54</v>
      </c>
      <c r="C443" s="1">
        <v>94</v>
      </c>
      <c r="D443" s="1" t="s">
        <v>75</v>
      </c>
      <c r="E443" s="8">
        <v>2548</v>
      </c>
      <c r="F443" s="1" t="s">
        <v>81</v>
      </c>
      <c r="G443" s="1">
        <v>2020</v>
      </c>
      <c r="H443" s="1" t="str">
        <f>IF(tblFLOWOD[[#This Row],[nama_asal]]=tblFLOWOD[[#This Row],[nama_tujuan]],"keluar","isi")</f>
        <v>isi</v>
      </c>
      <c r="I443" s="1" t="str">
        <f>METADATA_SOURCES!$A$2</f>
        <v>SRC001</v>
      </c>
    </row>
    <row r="444" spans="1:9" x14ac:dyDescent="0.3">
      <c r="A444" s="1">
        <v>34</v>
      </c>
      <c r="B444" s="1" t="s">
        <v>55</v>
      </c>
      <c r="C444" s="1">
        <v>11</v>
      </c>
      <c r="D444" s="1" t="s">
        <v>42</v>
      </c>
      <c r="E444" s="8">
        <v>255</v>
      </c>
      <c r="F444" s="1" t="s">
        <v>81</v>
      </c>
      <c r="G444" s="1">
        <v>2020</v>
      </c>
      <c r="H444" s="1" t="str">
        <f>IF(tblFLOWOD[[#This Row],[nama_asal]]=tblFLOWOD[[#This Row],[nama_tujuan]],"keluar","isi")</f>
        <v>isi</v>
      </c>
      <c r="I444" s="1" t="str">
        <f>METADATA_SOURCES!$A$2</f>
        <v>SRC001</v>
      </c>
    </row>
    <row r="445" spans="1:9" x14ac:dyDescent="0.3">
      <c r="A445" s="1">
        <v>34</v>
      </c>
      <c r="B445" s="1" t="s">
        <v>55</v>
      </c>
      <c r="C445" s="1">
        <v>12</v>
      </c>
      <c r="D445" s="1" t="s">
        <v>43</v>
      </c>
      <c r="E445" s="8">
        <v>1231</v>
      </c>
      <c r="F445" s="1" t="s">
        <v>81</v>
      </c>
      <c r="G445" s="1">
        <v>2020</v>
      </c>
      <c r="H445" s="1" t="str">
        <f>IF(tblFLOWOD[[#This Row],[nama_asal]]=tblFLOWOD[[#This Row],[nama_tujuan]],"keluar","isi")</f>
        <v>isi</v>
      </c>
      <c r="I445" s="1" t="str">
        <f>METADATA_SOURCES!$A$2</f>
        <v>SRC001</v>
      </c>
    </row>
    <row r="446" spans="1:9" x14ac:dyDescent="0.3">
      <c r="A446" s="1">
        <v>34</v>
      </c>
      <c r="B446" s="1" t="s">
        <v>55</v>
      </c>
      <c r="C446" s="1">
        <v>13</v>
      </c>
      <c r="D446" s="1" t="s">
        <v>44</v>
      </c>
      <c r="E446" s="8">
        <v>987</v>
      </c>
      <c r="F446" s="1" t="s">
        <v>81</v>
      </c>
      <c r="G446" s="1">
        <v>2020</v>
      </c>
      <c r="H446" s="1" t="str">
        <f>IF(tblFLOWOD[[#This Row],[nama_asal]]=tblFLOWOD[[#This Row],[nama_tujuan]],"keluar","isi")</f>
        <v>isi</v>
      </c>
      <c r="I446" s="1" t="str">
        <f>METADATA_SOURCES!$A$2</f>
        <v>SRC001</v>
      </c>
    </row>
    <row r="447" spans="1:9" x14ac:dyDescent="0.3">
      <c r="A447" s="1">
        <v>34</v>
      </c>
      <c r="B447" s="1" t="s">
        <v>55</v>
      </c>
      <c r="C447" s="1">
        <v>14</v>
      </c>
      <c r="D447" s="1" t="s">
        <v>45</v>
      </c>
      <c r="E447" s="8">
        <v>1514</v>
      </c>
      <c r="F447" s="1" t="s">
        <v>81</v>
      </c>
      <c r="G447" s="1">
        <v>2020</v>
      </c>
      <c r="H447" s="1" t="str">
        <f>IF(tblFLOWOD[[#This Row],[nama_asal]]=tblFLOWOD[[#This Row],[nama_tujuan]],"keluar","isi")</f>
        <v>isi</v>
      </c>
      <c r="I447" s="1" t="str">
        <f>METADATA_SOURCES!$A$2</f>
        <v>SRC001</v>
      </c>
    </row>
    <row r="448" spans="1:9" x14ac:dyDescent="0.3">
      <c r="A448" s="1">
        <v>34</v>
      </c>
      <c r="B448" s="1" t="s">
        <v>55</v>
      </c>
      <c r="C448" s="1">
        <v>15</v>
      </c>
      <c r="D448" s="1" t="s">
        <v>46</v>
      </c>
      <c r="E448" s="8">
        <v>592</v>
      </c>
      <c r="F448" s="1" t="s">
        <v>81</v>
      </c>
      <c r="G448" s="1">
        <v>2020</v>
      </c>
      <c r="H448" s="1" t="str">
        <f>IF(tblFLOWOD[[#This Row],[nama_asal]]=tblFLOWOD[[#This Row],[nama_tujuan]],"keluar","isi")</f>
        <v>isi</v>
      </c>
      <c r="I448" s="1" t="str">
        <f>METADATA_SOURCES!$A$2</f>
        <v>SRC001</v>
      </c>
    </row>
    <row r="449" spans="1:9" x14ac:dyDescent="0.3">
      <c r="A449" s="1">
        <v>34</v>
      </c>
      <c r="B449" s="1" t="s">
        <v>55</v>
      </c>
      <c r="C449" s="1">
        <v>16</v>
      </c>
      <c r="D449" s="1" t="s">
        <v>47</v>
      </c>
      <c r="E449" s="8">
        <v>1819</v>
      </c>
      <c r="F449" s="1" t="s">
        <v>81</v>
      </c>
      <c r="G449" s="1">
        <v>2020</v>
      </c>
      <c r="H449" s="1" t="str">
        <f>IF(tblFLOWOD[[#This Row],[nama_asal]]=tblFLOWOD[[#This Row],[nama_tujuan]],"keluar","isi")</f>
        <v>isi</v>
      </c>
      <c r="I449" s="1" t="str">
        <f>METADATA_SOURCES!$A$2</f>
        <v>SRC001</v>
      </c>
    </row>
    <row r="450" spans="1:9" x14ac:dyDescent="0.3">
      <c r="A450" s="1">
        <v>34</v>
      </c>
      <c r="B450" s="1" t="s">
        <v>55</v>
      </c>
      <c r="C450" s="1">
        <v>17</v>
      </c>
      <c r="D450" s="1" t="s">
        <v>48</v>
      </c>
      <c r="E450" s="8">
        <v>863</v>
      </c>
      <c r="F450" s="1" t="s">
        <v>81</v>
      </c>
      <c r="G450" s="1">
        <v>2020</v>
      </c>
      <c r="H450" s="1" t="str">
        <f>IF(tblFLOWOD[[#This Row],[nama_asal]]=tblFLOWOD[[#This Row],[nama_tujuan]],"keluar","isi")</f>
        <v>isi</v>
      </c>
      <c r="I450" s="1" t="str">
        <f>METADATA_SOURCES!$A$2</f>
        <v>SRC001</v>
      </c>
    </row>
    <row r="451" spans="1:9" x14ac:dyDescent="0.3">
      <c r="A451" s="1">
        <v>34</v>
      </c>
      <c r="B451" s="1" t="s">
        <v>55</v>
      </c>
      <c r="C451" s="1">
        <v>18</v>
      </c>
      <c r="D451" s="1" t="s">
        <v>49</v>
      </c>
      <c r="E451" s="8">
        <v>2307</v>
      </c>
      <c r="F451" s="1" t="s">
        <v>81</v>
      </c>
      <c r="G451" s="1">
        <v>2020</v>
      </c>
      <c r="H451" s="1" t="str">
        <f>IF(tblFLOWOD[[#This Row],[nama_asal]]=tblFLOWOD[[#This Row],[nama_tujuan]],"keluar","isi")</f>
        <v>isi</v>
      </c>
      <c r="I451" s="1" t="str">
        <f>METADATA_SOURCES!$A$2</f>
        <v>SRC001</v>
      </c>
    </row>
    <row r="452" spans="1:9" x14ac:dyDescent="0.3">
      <c r="A452" s="1">
        <v>34</v>
      </c>
      <c r="B452" s="1" t="s">
        <v>55</v>
      </c>
      <c r="C452" s="1">
        <v>19</v>
      </c>
      <c r="D452" s="1" t="s">
        <v>50</v>
      </c>
      <c r="E452" s="8">
        <v>1174</v>
      </c>
      <c r="F452" s="1" t="s">
        <v>81</v>
      </c>
      <c r="G452" s="1">
        <v>2020</v>
      </c>
      <c r="H452" s="1" t="str">
        <f>IF(tblFLOWOD[[#This Row],[nama_asal]]=tblFLOWOD[[#This Row],[nama_tujuan]],"keluar","isi")</f>
        <v>isi</v>
      </c>
      <c r="I452" s="1" t="str">
        <f>METADATA_SOURCES!$A$2</f>
        <v>SRC001</v>
      </c>
    </row>
    <row r="453" spans="1:9" x14ac:dyDescent="0.3">
      <c r="A453" s="1">
        <v>34</v>
      </c>
      <c r="B453" s="1" t="s">
        <v>55</v>
      </c>
      <c r="C453" s="1">
        <v>21</v>
      </c>
      <c r="D453" s="1" t="s">
        <v>51</v>
      </c>
      <c r="E453" s="8">
        <v>1116</v>
      </c>
      <c r="F453" s="1" t="s">
        <v>81</v>
      </c>
      <c r="G453" s="1">
        <v>2020</v>
      </c>
      <c r="H453" s="1" t="str">
        <f>IF(tblFLOWOD[[#This Row],[nama_asal]]=tblFLOWOD[[#This Row],[nama_tujuan]],"keluar","isi")</f>
        <v>isi</v>
      </c>
      <c r="I453" s="1" t="str">
        <f>METADATA_SOURCES!$A$2</f>
        <v>SRC001</v>
      </c>
    </row>
    <row r="454" spans="1:9" x14ac:dyDescent="0.3">
      <c r="A454" s="1">
        <v>34</v>
      </c>
      <c r="B454" s="1" t="s">
        <v>55</v>
      </c>
      <c r="C454" s="1">
        <v>31</v>
      </c>
      <c r="D454" s="1" t="s">
        <v>52</v>
      </c>
      <c r="E454" s="8">
        <v>3861</v>
      </c>
      <c r="F454" s="1" t="s">
        <v>81</v>
      </c>
      <c r="G454" s="1">
        <v>2020</v>
      </c>
      <c r="H454" s="1" t="str">
        <f>IF(tblFLOWOD[[#This Row],[nama_asal]]=tblFLOWOD[[#This Row],[nama_tujuan]],"keluar","isi")</f>
        <v>isi</v>
      </c>
      <c r="I454" s="1" t="str">
        <f>METADATA_SOURCES!$A$2</f>
        <v>SRC001</v>
      </c>
    </row>
    <row r="455" spans="1:9" x14ac:dyDescent="0.3">
      <c r="A455" s="1">
        <v>34</v>
      </c>
      <c r="B455" s="1" t="s">
        <v>55</v>
      </c>
      <c r="C455" s="1">
        <v>32</v>
      </c>
      <c r="D455" s="1" t="s">
        <v>53</v>
      </c>
      <c r="E455" s="8">
        <v>8554</v>
      </c>
      <c r="F455" s="1" t="s">
        <v>81</v>
      </c>
      <c r="G455" s="1">
        <v>2020</v>
      </c>
      <c r="H455" s="1" t="str">
        <f>IF(tblFLOWOD[[#This Row],[nama_asal]]=tblFLOWOD[[#This Row],[nama_tujuan]],"keluar","isi")</f>
        <v>isi</v>
      </c>
      <c r="I455" s="1" t="str">
        <f>METADATA_SOURCES!$A$2</f>
        <v>SRC001</v>
      </c>
    </row>
    <row r="456" spans="1:9" x14ac:dyDescent="0.3">
      <c r="A456" s="1">
        <v>34</v>
      </c>
      <c r="B456" s="1" t="s">
        <v>55</v>
      </c>
      <c r="C456" s="1">
        <v>33</v>
      </c>
      <c r="D456" s="1" t="s">
        <v>54</v>
      </c>
      <c r="E456" s="8">
        <v>49606</v>
      </c>
      <c r="F456" s="1" t="s">
        <v>81</v>
      </c>
      <c r="G456" s="1">
        <v>2020</v>
      </c>
      <c r="H456" s="1" t="str">
        <f>IF(tblFLOWOD[[#This Row],[nama_asal]]=tblFLOWOD[[#This Row],[nama_tujuan]],"keluar","isi")</f>
        <v>isi</v>
      </c>
      <c r="I456" s="1" t="str">
        <f>METADATA_SOURCES!$A$2</f>
        <v>SRC001</v>
      </c>
    </row>
    <row r="457" spans="1:9" x14ac:dyDescent="0.3">
      <c r="A457" s="1">
        <v>34</v>
      </c>
      <c r="B457" s="1" t="s">
        <v>55</v>
      </c>
      <c r="C457" s="1">
        <v>34</v>
      </c>
      <c r="D457" s="1" t="s">
        <v>55</v>
      </c>
      <c r="E457" s="8">
        <v>3334109</v>
      </c>
      <c r="F457" s="1" t="s">
        <v>81</v>
      </c>
      <c r="G457" s="1">
        <v>2020</v>
      </c>
      <c r="H457" s="1" t="str">
        <f>IF(tblFLOWOD[[#This Row],[nama_asal]]=tblFLOWOD[[#This Row],[nama_tujuan]],"keluar","isi")</f>
        <v>keluar</v>
      </c>
      <c r="I457" s="1" t="str">
        <f>METADATA_SOURCES!$A$2</f>
        <v>SRC001</v>
      </c>
    </row>
    <row r="458" spans="1:9" x14ac:dyDescent="0.3">
      <c r="A458" s="1">
        <v>34</v>
      </c>
      <c r="B458" s="1" t="s">
        <v>55</v>
      </c>
      <c r="C458" s="1">
        <v>35</v>
      </c>
      <c r="D458" s="1" t="s">
        <v>56</v>
      </c>
      <c r="E458" s="8">
        <v>5859</v>
      </c>
      <c r="F458" s="1" t="s">
        <v>81</v>
      </c>
      <c r="G458" s="1">
        <v>2020</v>
      </c>
      <c r="H458" s="1" t="str">
        <f>IF(tblFLOWOD[[#This Row],[nama_asal]]=tblFLOWOD[[#This Row],[nama_tujuan]],"keluar","isi")</f>
        <v>isi</v>
      </c>
      <c r="I458" s="1" t="str">
        <f>METADATA_SOURCES!$A$2</f>
        <v>SRC001</v>
      </c>
    </row>
    <row r="459" spans="1:9" x14ac:dyDescent="0.3">
      <c r="A459" s="1">
        <v>34</v>
      </c>
      <c r="B459" s="1" t="s">
        <v>55</v>
      </c>
      <c r="C459" s="1">
        <v>36</v>
      </c>
      <c r="D459" s="1" t="s">
        <v>57</v>
      </c>
      <c r="E459" s="8">
        <v>3894</v>
      </c>
      <c r="F459" s="1" t="s">
        <v>81</v>
      </c>
      <c r="G459" s="1">
        <v>2020</v>
      </c>
      <c r="H459" s="1" t="str">
        <f>IF(tblFLOWOD[[#This Row],[nama_asal]]=tblFLOWOD[[#This Row],[nama_tujuan]],"keluar","isi")</f>
        <v>isi</v>
      </c>
      <c r="I459" s="1" t="str">
        <f>METADATA_SOURCES!$A$2</f>
        <v>SRC001</v>
      </c>
    </row>
    <row r="460" spans="1:9" x14ac:dyDescent="0.3">
      <c r="A460" s="1">
        <v>34</v>
      </c>
      <c r="B460" s="1" t="s">
        <v>55</v>
      </c>
      <c r="C460" s="1">
        <v>51</v>
      </c>
      <c r="D460" s="1" t="s">
        <v>58</v>
      </c>
      <c r="E460" s="8">
        <v>689</v>
      </c>
      <c r="F460" s="1" t="s">
        <v>81</v>
      </c>
      <c r="G460" s="1">
        <v>2020</v>
      </c>
      <c r="H460" s="1" t="str">
        <f>IF(tblFLOWOD[[#This Row],[nama_asal]]=tblFLOWOD[[#This Row],[nama_tujuan]],"keluar","isi")</f>
        <v>isi</v>
      </c>
      <c r="I460" s="1" t="str">
        <f>METADATA_SOURCES!$A$2</f>
        <v>SRC001</v>
      </c>
    </row>
    <row r="461" spans="1:9" x14ac:dyDescent="0.3">
      <c r="A461" s="1">
        <v>34</v>
      </c>
      <c r="B461" s="1" t="s">
        <v>55</v>
      </c>
      <c r="C461" s="1">
        <v>52</v>
      </c>
      <c r="D461" s="1" t="s">
        <v>59</v>
      </c>
      <c r="E461" s="8">
        <v>2963</v>
      </c>
      <c r="F461" s="1" t="s">
        <v>81</v>
      </c>
      <c r="G461" s="1">
        <v>2020</v>
      </c>
      <c r="H461" s="1" t="str">
        <f>IF(tblFLOWOD[[#This Row],[nama_asal]]=tblFLOWOD[[#This Row],[nama_tujuan]],"keluar","isi")</f>
        <v>isi</v>
      </c>
      <c r="I461" s="1" t="str">
        <f>METADATA_SOURCES!$A$2</f>
        <v>SRC001</v>
      </c>
    </row>
    <row r="462" spans="1:9" x14ac:dyDescent="0.3">
      <c r="A462" s="1">
        <v>34</v>
      </c>
      <c r="B462" s="1" t="s">
        <v>55</v>
      </c>
      <c r="C462" s="1">
        <v>53</v>
      </c>
      <c r="D462" s="1" t="s">
        <v>60</v>
      </c>
      <c r="E462" s="8">
        <v>3611</v>
      </c>
      <c r="F462" s="1" t="s">
        <v>81</v>
      </c>
      <c r="G462" s="1">
        <v>2020</v>
      </c>
      <c r="H462" s="1" t="str">
        <f>IF(tblFLOWOD[[#This Row],[nama_asal]]=tblFLOWOD[[#This Row],[nama_tujuan]],"keluar","isi")</f>
        <v>isi</v>
      </c>
      <c r="I462" s="1" t="str">
        <f>METADATA_SOURCES!$A$2</f>
        <v>SRC001</v>
      </c>
    </row>
    <row r="463" spans="1:9" x14ac:dyDescent="0.3">
      <c r="A463" s="1">
        <v>34</v>
      </c>
      <c r="B463" s="1" t="s">
        <v>55</v>
      </c>
      <c r="C463" s="1">
        <v>61</v>
      </c>
      <c r="D463" s="1" t="s">
        <v>61</v>
      </c>
      <c r="E463" s="8">
        <v>1454</v>
      </c>
      <c r="F463" s="1" t="s">
        <v>81</v>
      </c>
      <c r="G463" s="1">
        <v>2020</v>
      </c>
      <c r="H463" s="1" t="str">
        <f>IF(tblFLOWOD[[#This Row],[nama_asal]]=tblFLOWOD[[#This Row],[nama_tujuan]],"keluar","isi")</f>
        <v>isi</v>
      </c>
      <c r="I463" s="1" t="str">
        <f>METADATA_SOURCES!$A$2</f>
        <v>SRC001</v>
      </c>
    </row>
    <row r="464" spans="1:9" x14ac:dyDescent="0.3">
      <c r="A464" s="1">
        <v>34</v>
      </c>
      <c r="B464" s="1" t="s">
        <v>55</v>
      </c>
      <c r="C464" s="1">
        <v>62</v>
      </c>
      <c r="D464" s="1" t="s">
        <v>62</v>
      </c>
      <c r="E464" s="8">
        <v>1179</v>
      </c>
      <c r="F464" s="1" t="s">
        <v>81</v>
      </c>
      <c r="G464" s="1">
        <v>2020</v>
      </c>
      <c r="H464" s="1" t="str">
        <f>IF(tblFLOWOD[[#This Row],[nama_asal]]=tblFLOWOD[[#This Row],[nama_tujuan]],"keluar","isi")</f>
        <v>isi</v>
      </c>
      <c r="I464" s="1" t="str">
        <f>METADATA_SOURCES!$A$2</f>
        <v>SRC001</v>
      </c>
    </row>
    <row r="465" spans="1:9" x14ac:dyDescent="0.3">
      <c r="A465" s="1">
        <v>34</v>
      </c>
      <c r="B465" s="1" t="s">
        <v>55</v>
      </c>
      <c r="C465" s="1">
        <v>63</v>
      </c>
      <c r="D465" s="1" t="s">
        <v>63</v>
      </c>
      <c r="E465" s="8">
        <v>694</v>
      </c>
      <c r="F465" s="1" t="s">
        <v>81</v>
      </c>
      <c r="G465" s="1">
        <v>2020</v>
      </c>
      <c r="H465" s="1" t="str">
        <f>IF(tblFLOWOD[[#This Row],[nama_asal]]=tblFLOWOD[[#This Row],[nama_tujuan]],"keluar","isi")</f>
        <v>isi</v>
      </c>
      <c r="I465" s="1" t="str">
        <f>METADATA_SOURCES!$A$2</f>
        <v>SRC001</v>
      </c>
    </row>
    <row r="466" spans="1:9" x14ac:dyDescent="0.3">
      <c r="A466" s="1">
        <v>34</v>
      </c>
      <c r="B466" s="1" t="s">
        <v>55</v>
      </c>
      <c r="C466" s="1">
        <v>64</v>
      </c>
      <c r="D466" s="1" t="s">
        <v>64</v>
      </c>
      <c r="E466" s="8">
        <v>1835</v>
      </c>
      <c r="F466" s="1" t="s">
        <v>81</v>
      </c>
      <c r="G466" s="1">
        <v>2020</v>
      </c>
      <c r="H466" s="1" t="str">
        <f>IF(tblFLOWOD[[#This Row],[nama_asal]]=tblFLOWOD[[#This Row],[nama_tujuan]],"keluar","isi")</f>
        <v>isi</v>
      </c>
      <c r="I466" s="1" t="str">
        <f>METADATA_SOURCES!$A$2</f>
        <v>SRC001</v>
      </c>
    </row>
    <row r="467" spans="1:9" x14ac:dyDescent="0.3">
      <c r="A467" s="1">
        <v>34</v>
      </c>
      <c r="B467" s="1" t="s">
        <v>55</v>
      </c>
      <c r="C467" s="1">
        <v>65</v>
      </c>
      <c r="D467" s="1" t="s">
        <v>65</v>
      </c>
      <c r="E467" s="8">
        <v>651</v>
      </c>
      <c r="F467" s="1" t="s">
        <v>81</v>
      </c>
      <c r="G467" s="1">
        <v>2020</v>
      </c>
      <c r="H467" s="1" t="str">
        <f>IF(tblFLOWOD[[#This Row],[nama_asal]]=tblFLOWOD[[#This Row],[nama_tujuan]],"keluar","isi")</f>
        <v>isi</v>
      </c>
      <c r="I467" s="1" t="str">
        <f>METADATA_SOURCES!$A$2</f>
        <v>SRC001</v>
      </c>
    </row>
    <row r="468" spans="1:9" x14ac:dyDescent="0.3">
      <c r="A468" s="1">
        <v>34</v>
      </c>
      <c r="B468" s="1" t="s">
        <v>55</v>
      </c>
      <c r="C468" s="1">
        <v>71</v>
      </c>
      <c r="D468" s="1" t="s">
        <v>66</v>
      </c>
      <c r="E468" s="8">
        <v>277</v>
      </c>
      <c r="F468" s="1" t="s">
        <v>81</v>
      </c>
      <c r="G468" s="1">
        <v>2020</v>
      </c>
      <c r="H468" s="1" t="str">
        <f>IF(tblFLOWOD[[#This Row],[nama_asal]]=tblFLOWOD[[#This Row],[nama_tujuan]],"keluar","isi")</f>
        <v>isi</v>
      </c>
      <c r="I468" s="1" t="str">
        <f>METADATA_SOURCES!$A$2</f>
        <v>SRC001</v>
      </c>
    </row>
    <row r="469" spans="1:9" x14ac:dyDescent="0.3">
      <c r="A469" s="1">
        <v>34</v>
      </c>
      <c r="B469" s="1" t="s">
        <v>55</v>
      </c>
      <c r="C469" s="1">
        <v>72</v>
      </c>
      <c r="D469" s="1" t="s">
        <v>67</v>
      </c>
      <c r="E469" s="8">
        <v>531</v>
      </c>
      <c r="F469" s="1" t="s">
        <v>81</v>
      </c>
      <c r="G469" s="1">
        <v>2020</v>
      </c>
      <c r="H469" s="1" t="str">
        <f>IF(tblFLOWOD[[#This Row],[nama_asal]]=tblFLOWOD[[#This Row],[nama_tujuan]],"keluar","isi")</f>
        <v>isi</v>
      </c>
      <c r="I469" s="1" t="str">
        <f>METADATA_SOURCES!$A$2</f>
        <v>SRC001</v>
      </c>
    </row>
    <row r="470" spans="1:9" x14ac:dyDescent="0.3">
      <c r="A470" s="1">
        <v>34</v>
      </c>
      <c r="B470" s="1" t="s">
        <v>55</v>
      </c>
      <c r="C470" s="1">
        <v>73</v>
      </c>
      <c r="D470" s="1" t="s">
        <v>68</v>
      </c>
      <c r="E470" s="8">
        <v>416</v>
      </c>
      <c r="F470" s="1" t="s">
        <v>81</v>
      </c>
      <c r="G470" s="1">
        <v>2020</v>
      </c>
      <c r="H470" s="1" t="str">
        <f>IF(tblFLOWOD[[#This Row],[nama_asal]]=tblFLOWOD[[#This Row],[nama_tujuan]],"keluar","isi")</f>
        <v>isi</v>
      </c>
      <c r="I470" s="1" t="str">
        <f>METADATA_SOURCES!$A$2</f>
        <v>SRC001</v>
      </c>
    </row>
    <row r="471" spans="1:9" x14ac:dyDescent="0.3">
      <c r="A471" s="1">
        <v>34</v>
      </c>
      <c r="B471" s="1" t="s">
        <v>55</v>
      </c>
      <c r="C471" s="1">
        <v>74</v>
      </c>
      <c r="D471" s="1" t="s">
        <v>69</v>
      </c>
      <c r="E471" s="8">
        <v>509</v>
      </c>
      <c r="F471" s="1" t="s">
        <v>81</v>
      </c>
      <c r="G471" s="1">
        <v>2020</v>
      </c>
      <c r="H471" s="1" t="str">
        <f>IF(tblFLOWOD[[#This Row],[nama_asal]]=tblFLOWOD[[#This Row],[nama_tujuan]],"keluar","isi")</f>
        <v>isi</v>
      </c>
      <c r="I471" s="1" t="str">
        <f>METADATA_SOURCES!$A$2</f>
        <v>SRC001</v>
      </c>
    </row>
    <row r="472" spans="1:9" x14ac:dyDescent="0.3">
      <c r="A472" s="1">
        <v>34</v>
      </c>
      <c r="B472" s="1" t="s">
        <v>55</v>
      </c>
      <c r="C472" s="1">
        <v>75</v>
      </c>
      <c r="D472" s="1" t="s">
        <v>70</v>
      </c>
      <c r="E472" s="8">
        <v>72</v>
      </c>
      <c r="F472" s="1" t="s">
        <v>81</v>
      </c>
      <c r="G472" s="1">
        <v>2020</v>
      </c>
      <c r="H472" s="1" t="str">
        <f>IF(tblFLOWOD[[#This Row],[nama_asal]]=tblFLOWOD[[#This Row],[nama_tujuan]],"keluar","isi")</f>
        <v>isi</v>
      </c>
      <c r="I472" s="1" t="str">
        <f>METADATA_SOURCES!$A$2</f>
        <v>SRC001</v>
      </c>
    </row>
    <row r="473" spans="1:9" x14ac:dyDescent="0.3">
      <c r="A473" s="1">
        <v>34</v>
      </c>
      <c r="B473" s="1" t="s">
        <v>55</v>
      </c>
      <c r="C473" s="1">
        <v>76</v>
      </c>
      <c r="D473" s="1" t="s">
        <v>71</v>
      </c>
      <c r="E473" s="8">
        <v>144</v>
      </c>
      <c r="F473" s="1" t="s">
        <v>81</v>
      </c>
      <c r="G473" s="1">
        <v>2020</v>
      </c>
      <c r="H473" s="1" t="str">
        <f>IF(tblFLOWOD[[#This Row],[nama_asal]]=tblFLOWOD[[#This Row],[nama_tujuan]],"keluar","isi")</f>
        <v>isi</v>
      </c>
      <c r="I473" s="1" t="str">
        <f>METADATA_SOURCES!$A$2</f>
        <v>SRC001</v>
      </c>
    </row>
    <row r="474" spans="1:9" x14ac:dyDescent="0.3">
      <c r="A474" s="1">
        <v>34</v>
      </c>
      <c r="B474" s="1" t="s">
        <v>55</v>
      </c>
      <c r="C474" s="1">
        <v>81</v>
      </c>
      <c r="D474" s="1" t="s">
        <v>72</v>
      </c>
      <c r="E474" s="8">
        <v>586</v>
      </c>
      <c r="F474" s="1" t="s">
        <v>81</v>
      </c>
      <c r="G474" s="1">
        <v>2020</v>
      </c>
      <c r="H474" s="1" t="str">
        <f>IF(tblFLOWOD[[#This Row],[nama_asal]]=tblFLOWOD[[#This Row],[nama_tujuan]],"keluar","isi")</f>
        <v>isi</v>
      </c>
      <c r="I474" s="1" t="str">
        <f>METADATA_SOURCES!$A$2</f>
        <v>SRC001</v>
      </c>
    </row>
    <row r="475" spans="1:9" x14ac:dyDescent="0.3">
      <c r="A475" s="1">
        <v>34</v>
      </c>
      <c r="B475" s="1" t="s">
        <v>55</v>
      </c>
      <c r="C475" s="1">
        <v>82</v>
      </c>
      <c r="D475" s="1" t="s">
        <v>73</v>
      </c>
      <c r="E475" s="8">
        <v>346</v>
      </c>
      <c r="F475" s="1" t="s">
        <v>81</v>
      </c>
      <c r="G475" s="1">
        <v>2020</v>
      </c>
      <c r="H475" s="1" t="str">
        <f>IF(tblFLOWOD[[#This Row],[nama_asal]]=tblFLOWOD[[#This Row],[nama_tujuan]],"keluar","isi")</f>
        <v>isi</v>
      </c>
      <c r="I475" s="1" t="str">
        <f>METADATA_SOURCES!$A$2</f>
        <v>SRC001</v>
      </c>
    </row>
    <row r="476" spans="1:9" x14ac:dyDescent="0.3">
      <c r="A476" s="1">
        <v>34</v>
      </c>
      <c r="B476" s="1" t="s">
        <v>55</v>
      </c>
      <c r="C476" s="1">
        <v>91</v>
      </c>
      <c r="D476" s="1" t="s">
        <v>74</v>
      </c>
      <c r="E476" s="8">
        <v>543</v>
      </c>
      <c r="F476" s="1" t="s">
        <v>81</v>
      </c>
      <c r="G476" s="1">
        <v>2020</v>
      </c>
      <c r="H476" s="1" t="str">
        <f>IF(tblFLOWOD[[#This Row],[nama_asal]]=tblFLOWOD[[#This Row],[nama_tujuan]],"keluar","isi")</f>
        <v>isi</v>
      </c>
      <c r="I476" s="1" t="str">
        <f>METADATA_SOURCES!$A$2</f>
        <v>SRC001</v>
      </c>
    </row>
    <row r="477" spans="1:9" x14ac:dyDescent="0.3">
      <c r="A477" s="1">
        <v>34</v>
      </c>
      <c r="B477" s="1" t="s">
        <v>55</v>
      </c>
      <c r="C477" s="1">
        <v>94</v>
      </c>
      <c r="D477" s="1" t="s">
        <v>75</v>
      </c>
      <c r="E477" s="8">
        <v>522</v>
      </c>
      <c r="F477" s="1" t="s">
        <v>81</v>
      </c>
      <c r="G477" s="1">
        <v>2020</v>
      </c>
      <c r="H477" s="1" t="str">
        <f>IF(tblFLOWOD[[#This Row],[nama_asal]]=tblFLOWOD[[#This Row],[nama_tujuan]],"keluar","isi")</f>
        <v>isi</v>
      </c>
      <c r="I477" s="1" t="str">
        <f>METADATA_SOURCES!$A$2</f>
        <v>SRC001</v>
      </c>
    </row>
    <row r="478" spans="1:9" x14ac:dyDescent="0.3">
      <c r="A478" s="1">
        <v>35</v>
      </c>
      <c r="B478" s="1" t="s">
        <v>56</v>
      </c>
      <c r="C478" s="1">
        <v>11</v>
      </c>
      <c r="D478" s="1" t="s">
        <v>42</v>
      </c>
      <c r="E478" s="8">
        <v>658</v>
      </c>
      <c r="F478" s="1" t="s">
        <v>81</v>
      </c>
      <c r="G478" s="1">
        <v>2020</v>
      </c>
      <c r="H478" s="1" t="str">
        <f>IF(tblFLOWOD[[#This Row],[nama_asal]]=tblFLOWOD[[#This Row],[nama_tujuan]],"keluar","isi")</f>
        <v>isi</v>
      </c>
      <c r="I478" s="1" t="str">
        <f>METADATA_SOURCES!$A$2</f>
        <v>SRC001</v>
      </c>
    </row>
    <row r="479" spans="1:9" x14ac:dyDescent="0.3">
      <c r="A479" s="1">
        <v>35</v>
      </c>
      <c r="B479" s="1" t="s">
        <v>56</v>
      </c>
      <c r="C479" s="1">
        <v>12</v>
      </c>
      <c r="D479" s="1" t="s">
        <v>43</v>
      </c>
      <c r="E479" s="8">
        <v>4116</v>
      </c>
      <c r="F479" s="1" t="s">
        <v>81</v>
      </c>
      <c r="G479" s="1">
        <v>2020</v>
      </c>
      <c r="H479" s="1" t="str">
        <f>IF(tblFLOWOD[[#This Row],[nama_asal]]=tblFLOWOD[[#This Row],[nama_tujuan]],"keluar","isi")</f>
        <v>isi</v>
      </c>
      <c r="I479" s="1" t="str">
        <f>METADATA_SOURCES!$A$2</f>
        <v>SRC001</v>
      </c>
    </row>
    <row r="480" spans="1:9" x14ac:dyDescent="0.3">
      <c r="A480" s="1">
        <v>35</v>
      </c>
      <c r="B480" s="1" t="s">
        <v>56</v>
      </c>
      <c r="C480" s="1">
        <v>13</v>
      </c>
      <c r="D480" s="1" t="s">
        <v>44</v>
      </c>
      <c r="E480" s="8">
        <v>2629</v>
      </c>
      <c r="F480" s="1" t="s">
        <v>81</v>
      </c>
      <c r="G480" s="1">
        <v>2020</v>
      </c>
      <c r="H480" s="1" t="str">
        <f>IF(tblFLOWOD[[#This Row],[nama_asal]]=tblFLOWOD[[#This Row],[nama_tujuan]],"keluar","isi")</f>
        <v>isi</v>
      </c>
      <c r="I480" s="1" t="str">
        <f>METADATA_SOURCES!$A$2</f>
        <v>SRC001</v>
      </c>
    </row>
    <row r="481" spans="1:9" x14ac:dyDescent="0.3">
      <c r="A481" s="1">
        <v>35</v>
      </c>
      <c r="B481" s="1" t="s">
        <v>56</v>
      </c>
      <c r="C481" s="1">
        <v>14</v>
      </c>
      <c r="D481" s="1" t="s">
        <v>45</v>
      </c>
      <c r="E481" s="8">
        <v>3610</v>
      </c>
      <c r="F481" s="1" t="s">
        <v>81</v>
      </c>
      <c r="G481" s="1">
        <v>2020</v>
      </c>
      <c r="H481" s="1" t="str">
        <f>IF(tblFLOWOD[[#This Row],[nama_asal]]=tblFLOWOD[[#This Row],[nama_tujuan]],"keluar","isi")</f>
        <v>isi</v>
      </c>
      <c r="I481" s="1" t="str">
        <f>METADATA_SOURCES!$A$2</f>
        <v>SRC001</v>
      </c>
    </row>
    <row r="482" spans="1:9" x14ac:dyDescent="0.3">
      <c r="A482" s="1">
        <v>35</v>
      </c>
      <c r="B482" s="1" t="s">
        <v>56</v>
      </c>
      <c r="C482" s="1">
        <v>15</v>
      </c>
      <c r="D482" s="1" t="s">
        <v>46</v>
      </c>
      <c r="E482" s="8">
        <v>1790</v>
      </c>
      <c r="F482" s="1" t="s">
        <v>81</v>
      </c>
      <c r="G482" s="1">
        <v>2020</v>
      </c>
      <c r="H482" s="1" t="str">
        <f>IF(tblFLOWOD[[#This Row],[nama_asal]]=tblFLOWOD[[#This Row],[nama_tujuan]],"keluar","isi")</f>
        <v>isi</v>
      </c>
      <c r="I482" s="1" t="str">
        <f>METADATA_SOURCES!$A$2</f>
        <v>SRC001</v>
      </c>
    </row>
    <row r="483" spans="1:9" x14ac:dyDescent="0.3">
      <c r="A483" s="1">
        <v>35</v>
      </c>
      <c r="B483" s="1" t="s">
        <v>56</v>
      </c>
      <c r="C483" s="1">
        <v>16</v>
      </c>
      <c r="D483" s="1" t="s">
        <v>47</v>
      </c>
      <c r="E483" s="8">
        <v>4309</v>
      </c>
      <c r="F483" s="1" t="s">
        <v>81</v>
      </c>
      <c r="G483" s="1">
        <v>2020</v>
      </c>
      <c r="H483" s="1" t="str">
        <f>IF(tblFLOWOD[[#This Row],[nama_asal]]=tblFLOWOD[[#This Row],[nama_tujuan]],"keluar","isi")</f>
        <v>isi</v>
      </c>
      <c r="I483" s="1" t="str">
        <f>METADATA_SOURCES!$A$2</f>
        <v>SRC001</v>
      </c>
    </row>
    <row r="484" spans="1:9" x14ac:dyDescent="0.3">
      <c r="A484" s="1">
        <v>35</v>
      </c>
      <c r="B484" s="1" t="s">
        <v>56</v>
      </c>
      <c r="C484" s="1">
        <v>17</v>
      </c>
      <c r="D484" s="1" t="s">
        <v>48</v>
      </c>
      <c r="E484" s="8">
        <v>1107</v>
      </c>
      <c r="F484" s="1" t="s">
        <v>81</v>
      </c>
      <c r="G484" s="1">
        <v>2020</v>
      </c>
      <c r="H484" s="1" t="str">
        <f>IF(tblFLOWOD[[#This Row],[nama_asal]]=tblFLOWOD[[#This Row],[nama_tujuan]],"keluar","isi")</f>
        <v>isi</v>
      </c>
      <c r="I484" s="1" t="str">
        <f>METADATA_SOURCES!$A$2</f>
        <v>SRC001</v>
      </c>
    </row>
    <row r="485" spans="1:9" x14ac:dyDescent="0.3">
      <c r="A485" s="1">
        <v>35</v>
      </c>
      <c r="B485" s="1" t="s">
        <v>56</v>
      </c>
      <c r="C485" s="1">
        <v>18</v>
      </c>
      <c r="D485" s="1" t="s">
        <v>49</v>
      </c>
      <c r="E485" s="8">
        <v>7216</v>
      </c>
      <c r="F485" s="1" t="s">
        <v>81</v>
      </c>
      <c r="G485" s="1">
        <v>2020</v>
      </c>
      <c r="H485" s="1" t="str">
        <f>IF(tblFLOWOD[[#This Row],[nama_asal]]=tblFLOWOD[[#This Row],[nama_tujuan]],"keluar","isi")</f>
        <v>isi</v>
      </c>
      <c r="I485" s="1" t="str">
        <f>METADATA_SOURCES!$A$2</f>
        <v>SRC001</v>
      </c>
    </row>
    <row r="486" spans="1:9" x14ac:dyDescent="0.3">
      <c r="A486" s="1">
        <v>35</v>
      </c>
      <c r="B486" s="1" t="s">
        <v>56</v>
      </c>
      <c r="C486" s="1">
        <v>19</v>
      </c>
      <c r="D486" s="1" t="s">
        <v>50</v>
      </c>
      <c r="E486" s="8">
        <v>1507</v>
      </c>
      <c r="F486" s="1" t="s">
        <v>81</v>
      </c>
      <c r="G486" s="1">
        <v>2020</v>
      </c>
      <c r="H486" s="1" t="str">
        <f>IF(tblFLOWOD[[#This Row],[nama_asal]]=tblFLOWOD[[#This Row],[nama_tujuan]],"keluar","isi")</f>
        <v>isi</v>
      </c>
      <c r="I486" s="1" t="str">
        <f>METADATA_SOURCES!$A$2</f>
        <v>SRC001</v>
      </c>
    </row>
    <row r="487" spans="1:9" x14ac:dyDescent="0.3">
      <c r="A487" s="1">
        <v>35</v>
      </c>
      <c r="B487" s="1" t="s">
        <v>56</v>
      </c>
      <c r="C487" s="1">
        <v>21</v>
      </c>
      <c r="D487" s="1" t="s">
        <v>51</v>
      </c>
      <c r="E487" s="8">
        <v>6250</v>
      </c>
      <c r="F487" s="1" t="s">
        <v>81</v>
      </c>
      <c r="G487" s="1">
        <v>2020</v>
      </c>
      <c r="H487" s="1" t="str">
        <f>IF(tblFLOWOD[[#This Row],[nama_asal]]=tblFLOWOD[[#This Row],[nama_tujuan]],"keluar","isi")</f>
        <v>isi</v>
      </c>
      <c r="I487" s="1" t="str">
        <f>METADATA_SOURCES!$A$2</f>
        <v>SRC001</v>
      </c>
    </row>
    <row r="488" spans="1:9" x14ac:dyDescent="0.3">
      <c r="A488" s="1">
        <v>35</v>
      </c>
      <c r="B488" s="1" t="s">
        <v>56</v>
      </c>
      <c r="C488" s="1">
        <v>31</v>
      </c>
      <c r="D488" s="1" t="s">
        <v>52</v>
      </c>
      <c r="E488" s="8">
        <v>16879</v>
      </c>
      <c r="F488" s="1" t="s">
        <v>81</v>
      </c>
      <c r="G488" s="1">
        <v>2020</v>
      </c>
      <c r="H488" s="1" t="str">
        <f>IF(tblFLOWOD[[#This Row],[nama_asal]]=tblFLOWOD[[#This Row],[nama_tujuan]],"keluar","isi")</f>
        <v>isi</v>
      </c>
      <c r="I488" s="1" t="str">
        <f>METADATA_SOURCES!$A$2</f>
        <v>SRC001</v>
      </c>
    </row>
    <row r="489" spans="1:9" x14ac:dyDescent="0.3">
      <c r="A489" s="1">
        <v>35</v>
      </c>
      <c r="B489" s="1" t="s">
        <v>56</v>
      </c>
      <c r="C489" s="1">
        <v>32</v>
      </c>
      <c r="D489" s="1" t="s">
        <v>53</v>
      </c>
      <c r="E489" s="8">
        <v>32723</v>
      </c>
      <c r="F489" s="1" t="s">
        <v>81</v>
      </c>
      <c r="G489" s="1">
        <v>2020</v>
      </c>
      <c r="H489" s="1" t="str">
        <f>IF(tblFLOWOD[[#This Row],[nama_asal]]=tblFLOWOD[[#This Row],[nama_tujuan]],"keluar","isi")</f>
        <v>isi</v>
      </c>
      <c r="I489" s="1" t="str">
        <f>METADATA_SOURCES!$A$2</f>
        <v>SRC001</v>
      </c>
    </row>
    <row r="490" spans="1:9" x14ac:dyDescent="0.3">
      <c r="A490" s="1">
        <v>35</v>
      </c>
      <c r="B490" s="1" t="s">
        <v>56</v>
      </c>
      <c r="C490" s="1">
        <v>33</v>
      </c>
      <c r="D490" s="1" t="s">
        <v>54</v>
      </c>
      <c r="E490" s="8">
        <v>63399</v>
      </c>
      <c r="F490" s="1" t="s">
        <v>81</v>
      </c>
      <c r="G490" s="1">
        <v>2020</v>
      </c>
      <c r="H490" s="1" t="str">
        <f>IF(tblFLOWOD[[#This Row],[nama_asal]]=tblFLOWOD[[#This Row],[nama_tujuan]],"keluar","isi")</f>
        <v>isi</v>
      </c>
      <c r="I490" s="1" t="str">
        <f>METADATA_SOURCES!$A$2</f>
        <v>SRC001</v>
      </c>
    </row>
    <row r="491" spans="1:9" x14ac:dyDescent="0.3">
      <c r="A491" s="1">
        <v>35</v>
      </c>
      <c r="B491" s="1" t="s">
        <v>56</v>
      </c>
      <c r="C491" s="1">
        <v>34</v>
      </c>
      <c r="D491" s="1" t="s">
        <v>55</v>
      </c>
      <c r="E491" s="8">
        <v>15873</v>
      </c>
      <c r="F491" s="1" t="s">
        <v>81</v>
      </c>
      <c r="G491" s="1">
        <v>2020</v>
      </c>
      <c r="H491" s="1" t="str">
        <f>IF(tblFLOWOD[[#This Row],[nama_asal]]=tblFLOWOD[[#This Row],[nama_tujuan]],"keluar","isi")</f>
        <v>isi</v>
      </c>
      <c r="I491" s="1" t="str">
        <f>METADATA_SOURCES!$A$2</f>
        <v>SRC001</v>
      </c>
    </row>
    <row r="492" spans="1:9" x14ac:dyDescent="0.3">
      <c r="A492" s="1">
        <v>35</v>
      </c>
      <c r="B492" s="1" t="s">
        <v>56</v>
      </c>
      <c r="C492" s="1">
        <v>35</v>
      </c>
      <c r="D492" s="1" t="s">
        <v>56</v>
      </c>
      <c r="E492" s="8">
        <v>38001781</v>
      </c>
      <c r="F492" s="1" t="s">
        <v>81</v>
      </c>
      <c r="G492" s="1">
        <v>2020</v>
      </c>
      <c r="H492" s="1" t="str">
        <f>IF(tblFLOWOD[[#This Row],[nama_asal]]=tblFLOWOD[[#This Row],[nama_tujuan]],"keluar","isi")</f>
        <v>keluar</v>
      </c>
      <c r="I492" s="1" t="str">
        <f>METADATA_SOURCES!$A$2</f>
        <v>SRC001</v>
      </c>
    </row>
    <row r="493" spans="1:9" x14ac:dyDescent="0.3">
      <c r="A493" s="1">
        <v>35</v>
      </c>
      <c r="B493" s="1" t="s">
        <v>56</v>
      </c>
      <c r="C493" s="1">
        <v>36</v>
      </c>
      <c r="D493" s="1" t="s">
        <v>57</v>
      </c>
      <c r="E493" s="8">
        <v>9152</v>
      </c>
      <c r="F493" s="1" t="s">
        <v>81</v>
      </c>
      <c r="G493" s="1">
        <v>2020</v>
      </c>
      <c r="H493" s="1" t="str">
        <f>IF(tblFLOWOD[[#This Row],[nama_asal]]=tblFLOWOD[[#This Row],[nama_tujuan]],"keluar","isi")</f>
        <v>isi</v>
      </c>
      <c r="I493" s="1" t="str">
        <f>METADATA_SOURCES!$A$2</f>
        <v>SRC001</v>
      </c>
    </row>
    <row r="494" spans="1:9" x14ac:dyDescent="0.3">
      <c r="A494" s="1">
        <v>35</v>
      </c>
      <c r="B494" s="1" t="s">
        <v>56</v>
      </c>
      <c r="C494" s="1">
        <v>51</v>
      </c>
      <c r="D494" s="1" t="s">
        <v>58</v>
      </c>
      <c r="E494" s="8">
        <v>20182</v>
      </c>
      <c r="F494" s="1" t="s">
        <v>81</v>
      </c>
      <c r="G494" s="1">
        <v>2020</v>
      </c>
      <c r="H494" s="1" t="str">
        <f>IF(tblFLOWOD[[#This Row],[nama_asal]]=tblFLOWOD[[#This Row],[nama_tujuan]],"keluar","isi")</f>
        <v>isi</v>
      </c>
      <c r="I494" s="1" t="str">
        <f>METADATA_SOURCES!$A$2</f>
        <v>SRC001</v>
      </c>
    </row>
    <row r="495" spans="1:9" x14ac:dyDescent="0.3">
      <c r="A495" s="1">
        <v>35</v>
      </c>
      <c r="B495" s="1" t="s">
        <v>56</v>
      </c>
      <c r="C495" s="1">
        <v>52</v>
      </c>
      <c r="D495" s="1" t="s">
        <v>59</v>
      </c>
      <c r="E495" s="8">
        <v>7896</v>
      </c>
      <c r="F495" s="1" t="s">
        <v>81</v>
      </c>
      <c r="G495" s="1">
        <v>2020</v>
      </c>
      <c r="H495" s="1" t="str">
        <f>IF(tblFLOWOD[[#This Row],[nama_asal]]=tblFLOWOD[[#This Row],[nama_tujuan]],"keluar","isi")</f>
        <v>isi</v>
      </c>
      <c r="I495" s="1" t="str">
        <f>METADATA_SOURCES!$A$2</f>
        <v>SRC001</v>
      </c>
    </row>
    <row r="496" spans="1:9" x14ac:dyDescent="0.3">
      <c r="A496" s="1">
        <v>35</v>
      </c>
      <c r="B496" s="1" t="s">
        <v>56</v>
      </c>
      <c r="C496" s="1">
        <v>53</v>
      </c>
      <c r="D496" s="1" t="s">
        <v>60</v>
      </c>
      <c r="E496" s="8">
        <v>14886</v>
      </c>
      <c r="F496" s="1" t="s">
        <v>81</v>
      </c>
      <c r="G496" s="1">
        <v>2020</v>
      </c>
      <c r="H496" s="1" t="str">
        <f>IF(tblFLOWOD[[#This Row],[nama_asal]]=tblFLOWOD[[#This Row],[nama_tujuan]],"keluar","isi")</f>
        <v>isi</v>
      </c>
      <c r="I496" s="1" t="str">
        <f>METADATA_SOURCES!$A$2</f>
        <v>SRC001</v>
      </c>
    </row>
    <row r="497" spans="1:9" x14ac:dyDescent="0.3">
      <c r="A497" s="1">
        <v>35</v>
      </c>
      <c r="B497" s="1" t="s">
        <v>56</v>
      </c>
      <c r="C497" s="1">
        <v>61</v>
      </c>
      <c r="D497" s="1" t="s">
        <v>61</v>
      </c>
      <c r="E497" s="8">
        <v>3692</v>
      </c>
      <c r="F497" s="1" t="s">
        <v>81</v>
      </c>
      <c r="G497" s="1">
        <v>2020</v>
      </c>
      <c r="H497" s="1" t="str">
        <f>IF(tblFLOWOD[[#This Row],[nama_asal]]=tblFLOWOD[[#This Row],[nama_tujuan]],"keluar","isi")</f>
        <v>isi</v>
      </c>
      <c r="I497" s="1" t="str">
        <f>METADATA_SOURCES!$A$2</f>
        <v>SRC001</v>
      </c>
    </row>
    <row r="498" spans="1:9" x14ac:dyDescent="0.3">
      <c r="A498" s="1">
        <v>35</v>
      </c>
      <c r="B498" s="1" t="s">
        <v>56</v>
      </c>
      <c r="C498" s="1">
        <v>62</v>
      </c>
      <c r="D498" s="1" t="s">
        <v>62</v>
      </c>
      <c r="E498" s="8">
        <v>8786</v>
      </c>
      <c r="F498" s="1" t="s">
        <v>81</v>
      </c>
      <c r="G498" s="1">
        <v>2020</v>
      </c>
      <c r="H498" s="1" t="str">
        <f>IF(tblFLOWOD[[#This Row],[nama_asal]]=tblFLOWOD[[#This Row],[nama_tujuan]],"keluar","isi")</f>
        <v>isi</v>
      </c>
      <c r="I498" s="1" t="str">
        <f>METADATA_SOURCES!$A$2</f>
        <v>SRC001</v>
      </c>
    </row>
    <row r="499" spans="1:9" x14ac:dyDescent="0.3">
      <c r="A499" s="1">
        <v>35</v>
      </c>
      <c r="B499" s="1" t="s">
        <v>56</v>
      </c>
      <c r="C499" s="1">
        <v>63</v>
      </c>
      <c r="D499" s="1" t="s">
        <v>63</v>
      </c>
      <c r="E499" s="8">
        <v>10768</v>
      </c>
      <c r="F499" s="1" t="s">
        <v>81</v>
      </c>
      <c r="G499" s="1">
        <v>2020</v>
      </c>
      <c r="H499" s="1" t="str">
        <f>IF(tblFLOWOD[[#This Row],[nama_asal]]=tblFLOWOD[[#This Row],[nama_tujuan]],"keluar","isi")</f>
        <v>isi</v>
      </c>
      <c r="I499" s="1" t="str">
        <f>METADATA_SOURCES!$A$2</f>
        <v>SRC001</v>
      </c>
    </row>
    <row r="500" spans="1:9" x14ac:dyDescent="0.3">
      <c r="A500" s="1">
        <v>35</v>
      </c>
      <c r="B500" s="1" t="s">
        <v>56</v>
      </c>
      <c r="C500" s="1">
        <v>64</v>
      </c>
      <c r="D500" s="1" t="s">
        <v>64</v>
      </c>
      <c r="E500" s="8">
        <v>18237</v>
      </c>
      <c r="F500" s="1" t="s">
        <v>81</v>
      </c>
      <c r="G500" s="1">
        <v>2020</v>
      </c>
      <c r="H500" s="1" t="str">
        <f>IF(tblFLOWOD[[#This Row],[nama_asal]]=tblFLOWOD[[#This Row],[nama_tujuan]],"keluar","isi")</f>
        <v>isi</v>
      </c>
      <c r="I500" s="1" t="str">
        <f>METADATA_SOURCES!$A$2</f>
        <v>SRC001</v>
      </c>
    </row>
    <row r="501" spans="1:9" x14ac:dyDescent="0.3">
      <c r="A501" s="1">
        <v>35</v>
      </c>
      <c r="B501" s="1" t="s">
        <v>56</v>
      </c>
      <c r="C501" s="1">
        <v>65</v>
      </c>
      <c r="D501" s="1" t="s">
        <v>65</v>
      </c>
      <c r="E501" s="8">
        <v>2611</v>
      </c>
      <c r="F501" s="1" t="s">
        <v>81</v>
      </c>
      <c r="G501" s="1">
        <v>2020</v>
      </c>
      <c r="H501" s="1" t="str">
        <f>IF(tblFLOWOD[[#This Row],[nama_asal]]=tblFLOWOD[[#This Row],[nama_tujuan]],"keluar","isi")</f>
        <v>isi</v>
      </c>
      <c r="I501" s="1" t="str">
        <f>METADATA_SOURCES!$A$2</f>
        <v>SRC001</v>
      </c>
    </row>
    <row r="502" spans="1:9" x14ac:dyDescent="0.3">
      <c r="A502" s="1">
        <v>35</v>
      </c>
      <c r="B502" s="1" t="s">
        <v>56</v>
      </c>
      <c r="C502" s="1">
        <v>71</v>
      </c>
      <c r="D502" s="1" t="s">
        <v>66</v>
      </c>
      <c r="E502" s="8">
        <v>1699</v>
      </c>
      <c r="F502" s="1" t="s">
        <v>81</v>
      </c>
      <c r="G502" s="1">
        <v>2020</v>
      </c>
      <c r="H502" s="1" t="str">
        <f>IF(tblFLOWOD[[#This Row],[nama_asal]]=tblFLOWOD[[#This Row],[nama_tujuan]],"keluar","isi")</f>
        <v>isi</v>
      </c>
      <c r="I502" s="1" t="str">
        <f>METADATA_SOURCES!$A$2</f>
        <v>SRC001</v>
      </c>
    </row>
    <row r="503" spans="1:9" x14ac:dyDescent="0.3">
      <c r="A503" s="1">
        <v>35</v>
      </c>
      <c r="B503" s="1" t="s">
        <v>56</v>
      </c>
      <c r="C503" s="1">
        <v>72</v>
      </c>
      <c r="D503" s="1" t="s">
        <v>67</v>
      </c>
      <c r="E503" s="8">
        <v>1995</v>
      </c>
      <c r="F503" s="1" t="s">
        <v>81</v>
      </c>
      <c r="G503" s="1">
        <v>2020</v>
      </c>
      <c r="H503" s="1" t="str">
        <f>IF(tblFLOWOD[[#This Row],[nama_asal]]=tblFLOWOD[[#This Row],[nama_tujuan]],"keluar","isi")</f>
        <v>isi</v>
      </c>
      <c r="I503" s="1" t="str">
        <f>METADATA_SOURCES!$A$2</f>
        <v>SRC001</v>
      </c>
    </row>
    <row r="504" spans="1:9" x14ac:dyDescent="0.3">
      <c r="A504" s="1">
        <v>35</v>
      </c>
      <c r="B504" s="1" t="s">
        <v>56</v>
      </c>
      <c r="C504" s="1">
        <v>73</v>
      </c>
      <c r="D504" s="1" t="s">
        <v>68</v>
      </c>
      <c r="E504" s="8">
        <v>4022</v>
      </c>
      <c r="F504" s="1" t="s">
        <v>81</v>
      </c>
      <c r="G504" s="1">
        <v>2020</v>
      </c>
      <c r="H504" s="1" t="str">
        <f>IF(tblFLOWOD[[#This Row],[nama_asal]]=tblFLOWOD[[#This Row],[nama_tujuan]],"keluar","isi")</f>
        <v>isi</v>
      </c>
      <c r="I504" s="1" t="str">
        <f>METADATA_SOURCES!$A$2</f>
        <v>SRC001</v>
      </c>
    </row>
    <row r="505" spans="1:9" x14ac:dyDescent="0.3">
      <c r="A505" s="1">
        <v>35</v>
      </c>
      <c r="B505" s="1" t="s">
        <v>56</v>
      </c>
      <c r="C505" s="1">
        <v>74</v>
      </c>
      <c r="D505" s="1" t="s">
        <v>69</v>
      </c>
      <c r="E505" s="8">
        <v>1855</v>
      </c>
      <c r="F505" s="1" t="s">
        <v>81</v>
      </c>
      <c r="G505" s="1">
        <v>2020</v>
      </c>
      <c r="H505" s="1" t="str">
        <f>IF(tblFLOWOD[[#This Row],[nama_asal]]=tblFLOWOD[[#This Row],[nama_tujuan]],"keluar","isi")</f>
        <v>isi</v>
      </c>
      <c r="I505" s="1" t="str">
        <f>METADATA_SOURCES!$A$2</f>
        <v>SRC001</v>
      </c>
    </row>
    <row r="506" spans="1:9" x14ac:dyDescent="0.3">
      <c r="A506" s="1">
        <v>35</v>
      </c>
      <c r="B506" s="1" t="s">
        <v>56</v>
      </c>
      <c r="C506" s="1">
        <v>75</v>
      </c>
      <c r="D506" s="1" t="s">
        <v>70</v>
      </c>
      <c r="E506" s="8">
        <v>454</v>
      </c>
      <c r="F506" s="1" t="s">
        <v>81</v>
      </c>
      <c r="G506" s="1">
        <v>2020</v>
      </c>
      <c r="H506" s="1" t="str">
        <f>IF(tblFLOWOD[[#This Row],[nama_asal]]=tblFLOWOD[[#This Row],[nama_tujuan]],"keluar","isi")</f>
        <v>isi</v>
      </c>
      <c r="I506" s="1" t="str">
        <f>METADATA_SOURCES!$A$2</f>
        <v>SRC001</v>
      </c>
    </row>
    <row r="507" spans="1:9" x14ac:dyDescent="0.3">
      <c r="A507" s="1">
        <v>35</v>
      </c>
      <c r="B507" s="1" t="s">
        <v>56</v>
      </c>
      <c r="C507" s="1">
        <v>76</v>
      </c>
      <c r="D507" s="1" t="s">
        <v>71</v>
      </c>
      <c r="E507" s="8">
        <v>930</v>
      </c>
      <c r="F507" s="1" t="s">
        <v>81</v>
      </c>
      <c r="G507" s="1">
        <v>2020</v>
      </c>
      <c r="H507" s="1" t="str">
        <f>IF(tblFLOWOD[[#This Row],[nama_asal]]=tblFLOWOD[[#This Row],[nama_tujuan]],"keluar","isi")</f>
        <v>isi</v>
      </c>
      <c r="I507" s="1" t="str">
        <f>METADATA_SOURCES!$A$2</f>
        <v>SRC001</v>
      </c>
    </row>
    <row r="508" spans="1:9" x14ac:dyDescent="0.3">
      <c r="A508" s="1">
        <v>35</v>
      </c>
      <c r="B508" s="1" t="s">
        <v>56</v>
      </c>
      <c r="C508" s="1">
        <v>81</v>
      </c>
      <c r="D508" s="1" t="s">
        <v>72</v>
      </c>
      <c r="E508" s="8">
        <v>2502</v>
      </c>
      <c r="F508" s="1" t="s">
        <v>81</v>
      </c>
      <c r="G508" s="1">
        <v>2020</v>
      </c>
      <c r="H508" s="1" t="str">
        <f>IF(tblFLOWOD[[#This Row],[nama_asal]]=tblFLOWOD[[#This Row],[nama_tujuan]],"keluar","isi")</f>
        <v>isi</v>
      </c>
      <c r="I508" s="1" t="str">
        <f>METADATA_SOURCES!$A$2</f>
        <v>SRC001</v>
      </c>
    </row>
    <row r="509" spans="1:9" x14ac:dyDescent="0.3">
      <c r="A509" s="1">
        <v>35</v>
      </c>
      <c r="B509" s="1" t="s">
        <v>56</v>
      </c>
      <c r="C509" s="1">
        <v>82</v>
      </c>
      <c r="D509" s="1" t="s">
        <v>73</v>
      </c>
      <c r="E509" s="8">
        <v>1084</v>
      </c>
      <c r="F509" s="1" t="s">
        <v>81</v>
      </c>
      <c r="G509" s="1">
        <v>2020</v>
      </c>
      <c r="H509" s="1" t="str">
        <f>IF(tblFLOWOD[[#This Row],[nama_asal]]=tblFLOWOD[[#This Row],[nama_tujuan]],"keluar","isi")</f>
        <v>isi</v>
      </c>
      <c r="I509" s="1" t="str">
        <f>METADATA_SOURCES!$A$2</f>
        <v>SRC001</v>
      </c>
    </row>
    <row r="510" spans="1:9" x14ac:dyDescent="0.3">
      <c r="A510" s="1">
        <v>35</v>
      </c>
      <c r="B510" s="1" t="s">
        <v>56</v>
      </c>
      <c r="C510" s="1">
        <v>91</v>
      </c>
      <c r="D510" s="1" t="s">
        <v>74</v>
      </c>
      <c r="E510" s="8">
        <v>3511</v>
      </c>
      <c r="F510" s="1" t="s">
        <v>81</v>
      </c>
      <c r="G510" s="1">
        <v>2020</v>
      </c>
      <c r="H510" s="1" t="str">
        <f>IF(tblFLOWOD[[#This Row],[nama_asal]]=tblFLOWOD[[#This Row],[nama_tujuan]],"keluar","isi")</f>
        <v>isi</v>
      </c>
      <c r="I510" s="1" t="str">
        <f>METADATA_SOURCES!$A$2</f>
        <v>SRC001</v>
      </c>
    </row>
    <row r="511" spans="1:9" x14ac:dyDescent="0.3">
      <c r="A511" s="1">
        <v>35</v>
      </c>
      <c r="B511" s="1" t="s">
        <v>56</v>
      </c>
      <c r="C511" s="1">
        <v>94</v>
      </c>
      <c r="D511" s="1" t="s">
        <v>75</v>
      </c>
      <c r="E511" s="8">
        <v>4626</v>
      </c>
      <c r="F511" s="1" t="s">
        <v>81</v>
      </c>
      <c r="G511" s="1">
        <v>2020</v>
      </c>
      <c r="H511" s="1" t="str">
        <f>IF(tblFLOWOD[[#This Row],[nama_asal]]=tblFLOWOD[[#This Row],[nama_tujuan]],"keluar","isi")</f>
        <v>isi</v>
      </c>
      <c r="I511" s="1" t="str">
        <f>METADATA_SOURCES!$A$2</f>
        <v>SRC001</v>
      </c>
    </row>
    <row r="512" spans="1:9" x14ac:dyDescent="0.3">
      <c r="A512" s="1">
        <v>36</v>
      </c>
      <c r="B512" s="1" t="s">
        <v>57</v>
      </c>
      <c r="C512" s="1">
        <v>11</v>
      </c>
      <c r="D512" s="1" t="s">
        <v>42</v>
      </c>
      <c r="E512" s="8">
        <v>761</v>
      </c>
      <c r="F512" s="1" t="s">
        <v>81</v>
      </c>
      <c r="G512" s="1">
        <v>2020</v>
      </c>
      <c r="H512" s="1" t="str">
        <f>IF(tblFLOWOD[[#This Row],[nama_asal]]=tblFLOWOD[[#This Row],[nama_tujuan]],"keluar","isi")</f>
        <v>isi</v>
      </c>
      <c r="I512" s="1" t="str">
        <f>METADATA_SOURCES!$A$2</f>
        <v>SRC001</v>
      </c>
    </row>
    <row r="513" spans="1:9" x14ac:dyDescent="0.3">
      <c r="A513" s="1">
        <v>36</v>
      </c>
      <c r="B513" s="1" t="s">
        <v>57</v>
      </c>
      <c r="C513" s="1">
        <v>12</v>
      </c>
      <c r="D513" s="1" t="s">
        <v>43</v>
      </c>
      <c r="E513" s="8">
        <v>6178</v>
      </c>
      <c r="F513" s="1" t="s">
        <v>81</v>
      </c>
      <c r="G513" s="1">
        <v>2020</v>
      </c>
      <c r="H513" s="1" t="str">
        <f>IF(tblFLOWOD[[#This Row],[nama_asal]]=tblFLOWOD[[#This Row],[nama_tujuan]],"keluar","isi")</f>
        <v>isi</v>
      </c>
      <c r="I513" s="1" t="str">
        <f>METADATA_SOURCES!$A$2</f>
        <v>SRC001</v>
      </c>
    </row>
    <row r="514" spans="1:9" x14ac:dyDescent="0.3">
      <c r="A514" s="1">
        <v>36</v>
      </c>
      <c r="B514" s="1" t="s">
        <v>57</v>
      </c>
      <c r="C514" s="1">
        <v>13</v>
      </c>
      <c r="D514" s="1" t="s">
        <v>44</v>
      </c>
      <c r="E514" s="8">
        <v>7232</v>
      </c>
      <c r="F514" s="1" t="s">
        <v>81</v>
      </c>
      <c r="G514" s="1">
        <v>2020</v>
      </c>
      <c r="H514" s="1" t="str">
        <f>IF(tblFLOWOD[[#This Row],[nama_asal]]=tblFLOWOD[[#This Row],[nama_tujuan]],"keluar","isi")</f>
        <v>isi</v>
      </c>
      <c r="I514" s="1" t="str">
        <f>METADATA_SOURCES!$A$2</f>
        <v>SRC001</v>
      </c>
    </row>
    <row r="515" spans="1:9" x14ac:dyDescent="0.3">
      <c r="A515" s="1">
        <v>36</v>
      </c>
      <c r="B515" s="1" t="s">
        <v>57</v>
      </c>
      <c r="C515" s="1">
        <v>14</v>
      </c>
      <c r="D515" s="1" t="s">
        <v>45</v>
      </c>
      <c r="E515" s="8">
        <v>1339</v>
      </c>
      <c r="F515" s="1" t="s">
        <v>81</v>
      </c>
      <c r="G515" s="1">
        <v>2020</v>
      </c>
      <c r="H515" s="1" t="str">
        <f>IF(tblFLOWOD[[#This Row],[nama_asal]]=tblFLOWOD[[#This Row],[nama_tujuan]],"keluar","isi")</f>
        <v>isi</v>
      </c>
      <c r="I515" s="1" t="str">
        <f>METADATA_SOURCES!$A$2</f>
        <v>SRC001</v>
      </c>
    </row>
    <row r="516" spans="1:9" x14ac:dyDescent="0.3">
      <c r="A516" s="1">
        <v>36</v>
      </c>
      <c r="B516" s="1" t="s">
        <v>57</v>
      </c>
      <c r="C516" s="1">
        <v>15</v>
      </c>
      <c r="D516" s="1" t="s">
        <v>46</v>
      </c>
      <c r="E516" s="8">
        <v>560</v>
      </c>
      <c r="F516" s="1" t="s">
        <v>81</v>
      </c>
      <c r="G516" s="1">
        <v>2020</v>
      </c>
      <c r="H516" s="1" t="str">
        <f>IF(tblFLOWOD[[#This Row],[nama_asal]]=tblFLOWOD[[#This Row],[nama_tujuan]],"keluar","isi")</f>
        <v>isi</v>
      </c>
      <c r="I516" s="1" t="str">
        <f>METADATA_SOURCES!$A$2</f>
        <v>SRC001</v>
      </c>
    </row>
    <row r="517" spans="1:9" x14ac:dyDescent="0.3">
      <c r="A517" s="1">
        <v>36</v>
      </c>
      <c r="B517" s="1" t="s">
        <v>57</v>
      </c>
      <c r="C517" s="1">
        <v>16</v>
      </c>
      <c r="D517" s="1" t="s">
        <v>47</v>
      </c>
      <c r="E517" s="8">
        <v>4046</v>
      </c>
      <c r="F517" s="1" t="s">
        <v>81</v>
      </c>
      <c r="G517" s="1">
        <v>2020</v>
      </c>
      <c r="H517" s="1" t="str">
        <f>IF(tblFLOWOD[[#This Row],[nama_asal]]=tblFLOWOD[[#This Row],[nama_tujuan]],"keluar","isi")</f>
        <v>isi</v>
      </c>
      <c r="I517" s="1" t="str">
        <f>METADATA_SOURCES!$A$2</f>
        <v>SRC001</v>
      </c>
    </row>
    <row r="518" spans="1:9" x14ac:dyDescent="0.3">
      <c r="A518" s="1">
        <v>36</v>
      </c>
      <c r="B518" s="1" t="s">
        <v>57</v>
      </c>
      <c r="C518" s="1">
        <v>17</v>
      </c>
      <c r="D518" s="1" t="s">
        <v>48</v>
      </c>
      <c r="E518" s="8">
        <v>888</v>
      </c>
      <c r="F518" s="1" t="s">
        <v>81</v>
      </c>
      <c r="G518" s="1">
        <v>2020</v>
      </c>
      <c r="H518" s="1" t="str">
        <f>IF(tblFLOWOD[[#This Row],[nama_asal]]=tblFLOWOD[[#This Row],[nama_tujuan]],"keluar","isi")</f>
        <v>isi</v>
      </c>
      <c r="I518" s="1" t="str">
        <f>METADATA_SOURCES!$A$2</f>
        <v>SRC001</v>
      </c>
    </row>
    <row r="519" spans="1:9" x14ac:dyDescent="0.3">
      <c r="A519" s="1">
        <v>36</v>
      </c>
      <c r="B519" s="1" t="s">
        <v>57</v>
      </c>
      <c r="C519" s="1">
        <v>18</v>
      </c>
      <c r="D519" s="1" t="s">
        <v>49</v>
      </c>
      <c r="E519" s="8">
        <v>18099</v>
      </c>
      <c r="F519" s="1" t="s">
        <v>81</v>
      </c>
      <c r="G519" s="1">
        <v>2020</v>
      </c>
      <c r="H519" s="1" t="str">
        <f>IF(tblFLOWOD[[#This Row],[nama_asal]]=tblFLOWOD[[#This Row],[nama_tujuan]],"keluar","isi")</f>
        <v>isi</v>
      </c>
      <c r="I519" s="1" t="str">
        <f>METADATA_SOURCES!$A$2</f>
        <v>SRC001</v>
      </c>
    </row>
    <row r="520" spans="1:9" x14ac:dyDescent="0.3">
      <c r="A520" s="1">
        <v>36</v>
      </c>
      <c r="B520" s="1" t="s">
        <v>57</v>
      </c>
      <c r="C520" s="1">
        <v>19</v>
      </c>
      <c r="D520" s="1" t="s">
        <v>50</v>
      </c>
      <c r="E520" s="8">
        <v>1146</v>
      </c>
      <c r="F520" s="1" t="s">
        <v>81</v>
      </c>
      <c r="G520" s="1">
        <v>2020</v>
      </c>
      <c r="H520" s="1" t="str">
        <f>IF(tblFLOWOD[[#This Row],[nama_asal]]=tblFLOWOD[[#This Row],[nama_tujuan]],"keluar","isi")</f>
        <v>isi</v>
      </c>
      <c r="I520" s="1" t="str">
        <f>METADATA_SOURCES!$A$2</f>
        <v>SRC001</v>
      </c>
    </row>
    <row r="521" spans="1:9" x14ac:dyDescent="0.3">
      <c r="A521" s="1">
        <v>36</v>
      </c>
      <c r="B521" s="1" t="s">
        <v>57</v>
      </c>
      <c r="C521" s="1">
        <v>21</v>
      </c>
      <c r="D521" s="1" t="s">
        <v>51</v>
      </c>
      <c r="E521" s="8">
        <v>843</v>
      </c>
      <c r="F521" s="1" t="s">
        <v>81</v>
      </c>
      <c r="G521" s="1">
        <v>2020</v>
      </c>
      <c r="H521" s="1" t="str">
        <f>IF(tblFLOWOD[[#This Row],[nama_asal]]=tblFLOWOD[[#This Row],[nama_tujuan]],"keluar","isi")</f>
        <v>isi</v>
      </c>
      <c r="I521" s="1" t="str">
        <f>METADATA_SOURCES!$A$2</f>
        <v>SRC001</v>
      </c>
    </row>
    <row r="522" spans="1:9" x14ac:dyDescent="0.3">
      <c r="A522" s="1">
        <v>36</v>
      </c>
      <c r="B522" s="1" t="s">
        <v>57</v>
      </c>
      <c r="C522" s="1">
        <v>31</v>
      </c>
      <c r="D522" s="1" t="s">
        <v>52</v>
      </c>
      <c r="E522" s="8">
        <v>22916</v>
      </c>
      <c r="F522" s="1" t="s">
        <v>81</v>
      </c>
      <c r="G522" s="1">
        <v>2020</v>
      </c>
      <c r="H522" s="1" t="str">
        <f>IF(tblFLOWOD[[#This Row],[nama_asal]]=tblFLOWOD[[#This Row],[nama_tujuan]],"keluar","isi")</f>
        <v>isi</v>
      </c>
      <c r="I522" s="1" t="str">
        <f>METADATA_SOURCES!$A$2</f>
        <v>SRC001</v>
      </c>
    </row>
    <row r="523" spans="1:9" x14ac:dyDescent="0.3">
      <c r="A523" s="1">
        <v>36</v>
      </c>
      <c r="B523" s="1" t="s">
        <v>57</v>
      </c>
      <c r="C523" s="1">
        <v>32</v>
      </c>
      <c r="D523" s="1" t="s">
        <v>53</v>
      </c>
      <c r="E523" s="8">
        <v>71956</v>
      </c>
      <c r="F523" s="1" t="s">
        <v>81</v>
      </c>
      <c r="G523" s="1">
        <v>2020</v>
      </c>
      <c r="H523" s="1" t="str">
        <f>IF(tblFLOWOD[[#This Row],[nama_asal]]=tblFLOWOD[[#This Row],[nama_tujuan]],"keluar","isi")</f>
        <v>isi</v>
      </c>
      <c r="I523" s="1" t="str">
        <f>METADATA_SOURCES!$A$2</f>
        <v>SRC001</v>
      </c>
    </row>
    <row r="524" spans="1:9" x14ac:dyDescent="0.3">
      <c r="A524" s="1">
        <v>36</v>
      </c>
      <c r="B524" s="1" t="s">
        <v>57</v>
      </c>
      <c r="C524" s="1">
        <v>33</v>
      </c>
      <c r="D524" s="1" t="s">
        <v>54</v>
      </c>
      <c r="E524" s="8">
        <v>65752</v>
      </c>
      <c r="F524" s="1" t="s">
        <v>81</v>
      </c>
      <c r="G524" s="1">
        <v>2020</v>
      </c>
      <c r="H524" s="1" t="str">
        <f>IF(tblFLOWOD[[#This Row],[nama_asal]]=tblFLOWOD[[#This Row],[nama_tujuan]],"keluar","isi")</f>
        <v>isi</v>
      </c>
      <c r="I524" s="1" t="str">
        <f>METADATA_SOURCES!$A$2</f>
        <v>SRC001</v>
      </c>
    </row>
    <row r="525" spans="1:9" x14ac:dyDescent="0.3">
      <c r="A525" s="1">
        <v>36</v>
      </c>
      <c r="B525" s="1" t="s">
        <v>57</v>
      </c>
      <c r="C525" s="1">
        <v>34</v>
      </c>
      <c r="D525" s="1" t="s">
        <v>55</v>
      </c>
      <c r="E525" s="8">
        <v>9332</v>
      </c>
      <c r="F525" s="1" t="s">
        <v>81</v>
      </c>
      <c r="G525" s="1">
        <v>2020</v>
      </c>
      <c r="H525" s="1" t="str">
        <f>IF(tblFLOWOD[[#This Row],[nama_asal]]=tblFLOWOD[[#This Row],[nama_tujuan]],"keluar","isi")</f>
        <v>isi</v>
      </c>
      <c r="I525" s="1" t="str">
        <f>METADATA_SOURCES!$A$2</f>
        <v>SRC001</v>
      </c>
    </row>
    <row r="526" spans="1:9" x14ac:dyDescent="0.3">
      <c r="A526" s="1">
        <v>36</v>
      </c>
      <c r="B526" s="1" t="s">
        <v>57</v>
      </c>
      <c r="C526" s="1">
        <v>35</v>
      </c>
      <c r="D526" s="1" t="s">
        <v>56</v>
      </c>
      <c r="E526" s="8">
        <v>11700</v>
      </c>
      <c r="F526" s="1" t="s">
        <v>81</v>
      </c>
      <c r="G526" s="1">
        <v>2020</v>
      </c>
      <c r="H526" s="1" t="str">
        <f>IF(tblFLOWOD[[#This Row],[nama_asal]]=tblFLOWOD[[#This Row],[nama_tujuan]],"keluar","isi")</f>
        <v>isi</v>
      </c>
      <c r="I526" s="1" t="str">
        <f>METADATA_SOURCES!$A$2</f>
        <v>SRC001</v>
      </c>
    </row>
    <row r="527" spans="1:9" x14ac:dyDescent="0.3">
      <c r="A527" s="1">
        <v>36</v>
      </c>
      <c r="B527" s="1" t="s">
        <v>57</v>
      </c>
      <c r="C527" s="1">
        <v>36</v>
      </c>
      <c r="D527" s="1" t="s">
        <v>57</v>
      </c>
      <c r="E527" s="8">
        <v>10968045</v>
      </c>
      <c r="F527" s="1" t="s">
        <v>81</v>
      </c>
      <c r="G527" s="1">
        <v>2020</v>
      </c>
      <c r="H527" s="1" t="str">
        <f>IF(tblFLOWOD[[#This Row],[nama_asal]]=tblFLOWOD[[#This Row],[nama_tujuan]],"keluar","isi")</f>
        <v>keluar</v>
      </c>
      <c r="I527" s="1" t="str">
        <f>METADATA_SOURCES!$A$2</f>
        <v>SRC001</v>
      </c>
    </row>
    <row r="528" spans="1:9" x14ac:dyDescent="0.3">
      <c r="A528" s="1">
        <v>36</v>
      </c>
      <c r="B528" s="1" t="s">
        <v>57</v>
      </c>
      <c r="C528" s="1">
        <v>51</v>
      </c>
      <c r="D528" s="1" t="s">
        <v>58</v>
      </c>
      <c r="E528" s="8">
        <v>750</v>
      </c>
      <c r="F528" s="1" t="s">
        <v>81</v>
      </c>
      <c r="G528" s="1">
        <v>2020</v>
      </c>
      <c r="H528" s="1" t="str">
        <f>IF(tblFLOWOD[[#This Row],[nama_asal]]=tblFLOWOD[[#This Row],[nama_tujuan]],"keluar","isi")</f>
        <v>isi</v>
      </c>
      <c r="I528" s="1" t="str">
        <f>METADATA_SOURCES!$A$2</f>
        <v>SRC001</v>
      </c>
    </row>
    <row r="529" spans="1:9" x14ac:dyDescent="0.3">
      <c r="A529" s="1">
        <v>36</v>
      </c>
      <c r="B529" s="1" t="s">
        <v>57</v>
      </c>
      <c r="C529" s="1">
        <v>52</v>
      </c>
      <c r="D529" s="1" t="s">
        <v>59</v>
      </c>
      <c r="E529" s="8">
        <v>1213</v>
      </c>
      <c r="F529" s="1" t="s">
        <v>81</v>
      </c>
      <c r="G529" s="1">
        <v>2020</v>
      </c>
      <c r="H529" s="1" t="str">
        <f>IF(tblFLOWOD[[#This Row],[nama_asal]]=tblFLOWOD[[#This Row],[nama_tujuan]],"keluar","isi")</f>
        <v>isi</v>
      </c>
      <c r="I529" s="1" t="str">
        <f>METADATA_SOURCES!$A$2</f>
        <v>SRC001</v>
      </c>
    </row>
    <row r="530" spans="1:9" x14ac:dyDescent="0.3">
      <c r="A530" s="1">
        <v>36</v>
      </c>
      <c r="B530" s="1" t="s">
        <v>57</v>
      </c>
      <c r="C530" s="1">
        <v>53</v>
      </c>
      <c r="D530" s="1" t="s">
        <v>60</v>
      </c>
      <c r="E530" s="8">
        <v>748</v>
      </c>
      <c r="F530" s="1" t="s">
        <v>81</v>
      </c>
      <c r="G530" s="1">
        <v>2020</v>
      </c>
      <c r="H530" s="1" t="str">
        <f>IF(tblFLOWOD[[#This Row],[nama_asal]]=tblFLOWOD[[#This Row],[nama_tujuan]],"keluar","isi")</f>
        <v>isi</v>
      </c>
      <c r="I530" s="1" t="str">
        <f>METADATA_SOURCES!$A$2</f>
        <v>SRC001</v>
      </c>
    </row>
    <row r="531" spans="1:9" x14ac:dyDescent="0.3">
      <c r="A531" s="1">
        <v>36</v>
      </c>
      <c r="B531" s="1" t="s">
        <v>57</v>
      </c>
      <c r="C531" s="1">
        <v>61</v>
      </c>
      <c r="D531" s="1" t="s">
        <v>61</v>
      </c>
      <c r="E531" s="8">
        <v>1792</v>
      </c>
      <c r="F531" s="1" t="s">
        <v>81</v>
      </c>
      <c r="G531" s="1">
        <v>2020</v>
      </c>
      <c r="H531" s="1" t="str">
        <f>IF(tblFLOWOD[[#This Row],[nama_asal]]=tblFLOWOD[[#This Row],[nama_tujuan]],"keluar","isi")</f>
        <v>isi</v>
      </c>
      <c r="I531" s="1" t="str">
        <f>METADATA_SOURCES!$A$2</f>
        <v>SRC001</v>
      </c>
    </row>
    <row r="532" spans="1:9" x14ac:dyDescent="0.3">
      <c r="A532" s="1">
        <v>36</v>
      </c>
      <c r="B532" s="1" t="s">
        <v>57</v>
      </c>
      <c r="C532" s="1">
        <v>62</v>
      </c>
      <c r="D532" s="1" t="s">
        <v>62</v>
      </c>
      <c r="E532" s="8">
        <v>915</v>
      </c>
      <c r="F532" s="1" t="s">
        <v>81</v>
      </c>
      <c r="G532" s="1">
        <v>2020</v>
      </c>
      <c r="H532" s="1" t="str">
        <f>IF(tblFLOWOD[[#This Row],[nama_asal]]=tblFLOWOD[[#This Row],[nama_tujuan]],"keluar","isi")</f>
        <v>isi</v>
      </c>
      <c r="I532" s="1" t="str">
        <f>METADATA_SOURCES!$A$2</f>
        <v>SRC001</v>
      </c>
    </row>
    <row r="533" spans="1:9" x14ac:dyDescent="0.3">
      <c r="A533" s="1">
        <v>36</v>
      </c>
      <c r="B533" s="1" t="s">
        <v>57</v>
      </c>
      <c r="C533" s="1">
        <v>63</v>
      </c>
      <c r="D533" s="1" t="s">
        <v>63</v>
      </c>
      <c r="E533" s="8">
        <v>722</v>
      </c>
      <c r="F533" s="1" t="s">
        <v>81</v>
      </c>
      <c r="G533" s="1">
        <v>2020</v>
      </c>
      <c r="H533" s="1" t="str">
        <f>IF(tblFLOWOD[[#This Row],[nama_asal]]=tblFLOWOD[[#This Row],[nama_tujuan]],"keluar","isi")</f>
        <v>isi</v>
      </c>
      <c r="I533" s="1" t="str">
        <f>METADATA_SOURCES!$A$2</f>
        <v>SRC001</v>
      </c>
    </row>
    <row r="534" spans="1:9" x14ac:dyDescent="0.3">
      <c r="A534" s="1">
        <v>36</v>
      </c>
      <c r="B534" s="1" t="s">
        <v>57</v>
      </c>
      <c r="C534" s="1">
        <v>64</v>
      </c>
      <c r="D534" s="1" t="s">
        <v>64</v>
      </c>
      <c r="E534" s="8">
        <v>917</v>
      </c>
      <c r="F534" s="1" t="s">
        <v>81</v>
      </c>
      <c r="G534" s="1">
        <v>2020</v>
      </c>
      <c r="H534" s="1" t="str">
        <f>IF(tblFLOWOD[[#This Row],[nama_asal]]=tblFLOWOD[[#This Row],[nama_tujuan]],"keluar","isi")</f>
        <v>isi</v>
      </c>
      <c r="I534" s="1" t="str">
        <f>METADATA_SOURCES!$A$2</f>
        <v>SRC001</v>
      </c>
    </row>
    <row r="535" spans="1:9" x14ac:dyDescent="0.3">
      <c r="A535" s="1">
        <v>36</v>
      </c>
      <c r="B535" s="1" t="s">
        <v>57</v>
      </c>
      <c r="C535" s="1">
        <v>65</v>
      </c>
      <c r="D535" s="1" t="s">
        <v>65</v>
      </c>
      <c r="E535" s="8">
        <v>46</v>
      </c>
      <c r="F535" s="1" t="s">
        <v>81</v>
      </c>
      <c r="G535" s="1">
        <v>2020</v>
      </c>
      <c r="H535" s="1" t="str">
        <f>IF(tblFLOWOD[[#This Row],[nama_asal]]=tblFLOWOD[[#This Row],[nama_tujuan]],"keluar","isi")</f>
        <v>isi</v>
      </c>
      <c r="I535" s="1" t="str">
        <f>METADATA_SOURCES!$A$2</f>
        <v>SRC001</v>
      </c>
    </row>
    <row r="536" spans="1:9" x14ac:dyDescent="0.3">
      <c r="A536" s="1">
        <v>36</v>
      </c>
      <c r="B536" s="1" t="s">
        <v>57</v>
      </c>
      <c r="C536" s="1">
        <v>71</v>
      </c>
      <c r="D536" s="1" t="s">
        <v>66</v>
      </c>
      <c r="E536" s="8">
        <v>216</v>
      </c>
      <c r="F536" s="1" t="s">
        <v>81</v>
      </c>
      <c r="G536" s="1">
        <v>2020</v>
      </c>
      <c r="H536" s="1" t="str">
        <f>IF(tblFLOWOD[[#This Row],[nama_asal]]=tblFLOWOD[[#This Row],[nama_tujuan]],"keluar","isi")</f>
        <v>isi</v>
      </c>
      <c r="I536" s="1" t="str">
        <f>METADATA_SOURCES!$A$2</f>
        <v>SRC001</v>
      </c>
    </row>
    <row r="537" spans="1:9" x14ac:dyDescent="0.3">
      <c r="A537" s="1">
        <v>36</v>
      </c>
      <c r="B537" s="1" t="s">
        <v>57</v>
      </c>
      <c r="C537" s="1">
        <v>72</v>
      </c>
      <c r="D537" s="1" t="s">
        <v>67</v>
      </c>
      <c r="E537" s="8">
        <v>365</v>
      </c>
      <c r="F537" s="1" t="s">
        <v>81</v>
      </c>
      <c r="G537" s="1">
        <v>2020</v>
      </c>
      <c r="H537" s="1" t="str">
        <f>IF(tblFLOWOD[[#This Row],[nama_asal]]=tblFLOWOD[[#This Row],[nama_tujuan]],"keluar","isi")</f>
        <v>isi</v>
      </c>
      <c r="I537" s="1" t="str">
        <f>METADATA_SOURCES!$A$2</f>
        <v>SRC001</v>
      </c>
    </row>
    <row r="538" spans="1:9" x14ac:dyDescent="0.3">
      <c r="A538" s="1">
        <v>36</v>
      </c>
      <c r="B538" s="1" t="s">
        <v>57</v>
      </c>
      <c r="C538" s="1">
        <v>73</v>
      </c>
      <c r="D538" s="1" t="s">
        <v>68</v>
      </c>
      <c r="E538" s="8">
        <v>765</v>
      </c>
      <c r="F538" s="1" t="s">
        <v>81</v>
      </c>
      <c r="G538" s="1">
        <v>2020</v>
      </c>
      <c r="H538" s="1" t="str">
        <f>IF(tblFLOWOD[[#This Row],[nama_asal]]=tblFLOWOD[[#This Row],[nama_tujuan]],"keluar","isi")</f>
        <v>isi</v>
      </c>
      <c r="I538" s="1" t="str">
        <f>METADATA_SOURCES!$A$2</f>
        <v>SRC001</v>
      </c>
    </row>
    <row r="539" spans="1:9" x14ac:dyDescent="0.3">
      <c r="A539" s="1">
        <v>36</v>
      </c>
      <c r="B539" s="1" t="s">
        <v>57</v>
      </c>
      <c r="C539" s="1">
        <v>74</v>
      </c>
      <c r="D539" s="1" t="s">
        <v>69</v>
      </c>
      <c r="E539" s="8">
        <v>134</v>
      </c>
      <c r="F539" s="1" t="s">
        <v>81</v>
      </c>
      <c r="G539" s="1">
        <v>2020</v>
      </c>
      <c r="H539" s="1" t="str">
        <f>IF(tblFLOWOD[[#This Row],[nama_asal]]=tblFLOWOD[[#This Row],[nama_tujuan]],"keluar","isi")</f>
        <v>isi</v>
      </c>
      <c r="I539" s="1" t="str">
        <f>METADATA_SOURCES!$A$2</f>
        <v>SRC001</v>
      </c>
    </row>
    <row r="540" spans="1:9" x14ac:dyDescent="0.3">
      <c r="A540" s="1">
        <v>36</v>
      </c>
      <c r="B540" s="1" t="s">
        <v>57</v>
      </c>
      <c r="C540" s="1">
        <v>75</v>
      </c>
      <c r="D540" s="1" t="s">
        <v>70</v>
      </c>
      <c r="E540" s="8">
        <v>213</v>
      </c>
      <c r="F540" s="1" t="s">
        <v>81</v>
      </c>
      <c r="G540" s="1">
        <v>2020</v>
      </c>
      <c r="H540" s="1" t="str">
        <f>IF(tblFLOWOD[[#This Row],[nama_asal]]=tblFLOWOD[[#This Row],[nama_tujuan]],"keluar","isi")</f>
        <v>isi</v>
      </c>
      <c r="I540" s="1" t="str">
        <f>METADATA_SOURCES!$A$2</f>
        <v>SRC001</v>
      </c>
    </row>
    <row r="541" spans="1:9" x14ac:dyDescent="0.3">
      <c r="A541" s="1">
        <v>36</v>
      </c>
      <c r="B541" s="1" t="s">
        <v>57</v>
      </c>
      <c r="C541" s="1">
        <v>76</v>
      </c>
      <c r="D541" s="1" t="s">
        <v>71</v>
      </c>
      <c r="E541" s="8">
        <v>8</v>
      </c>
      <c r="F541" s="1" t="s">
        <v>81</v>
      </c>
      <c r="G541" s="1">
        <v>2020</v>
      </c>
      <c r="H541" s="1" t="str">
        <f>IF(tblFLOWOD[[#This Row],[nama_asal]]=tblFLOWOD[[#This Row],[nama_tujuan]],"keluar","isi")</f>
        <v>isi</v>
      </c>
      <c r="I541" s="1" t="str">
        <f>METADATA_SOURCES!$A$2</f>
        <v>SRC001</v>
      </c>
    </row>
    <row r="542" spans="1:9" x14ac:dyDescent="0.3">
      <c r="A542" s="1">
        <v>36</v>
      </c>
      <c r="B542" s="1" t="s">
        <v>57</v>
      </c>
      <c r="C542" s="1">
        <v>81</v>
      </c>
      <c r="D542" s="1" t="s">
        <v>72</v>
      </c>
      <c r="E542" s="8">
        <v>286</v>
      </c>
      <c r="F542" s="1" t="s">
        <v>81</v>
      </c>
      <c r="G542" s="1">
        <v>2020</v>
      </c>
      <c r="H542" s="1" t="str">
        <f>IF(tblFLOWOD[[#This Row],[nama_asal]]=tblFLOWOD[[#This Row],[nama_tujuan]],"keluar","isi")</f>
        <v>isi</v>
      </c>
      <c r="I542" s="1" t="str">
        <f>METADATA_SOURCES!$A$2</f>
        <v>SRC001</v>
      </c>
    </row>
    <row r="543" spans="1:9" x14ac:dyDescent="0.3">
      <c r="A543" s="1">
        <v>36</v>
      </c>
      <c r="B543" s="1" t="s">
        <v>57</v>
      </c>
      <c r="C543" s="1">
        <v>82</v>
      </c>
      <c r="D543" s="1" t="s">
        <v>73</v>
      </c>
      <c r="E543" s="8">
        <v>51</v>
      </c>
      <c r="F543" s="1" t="s">
        <v>81</v>
      </c>
      <c r="G543" s="1">
        <v>2020</v>
      </c>
      <c r="H543" s="1" t="str">
        <f>IF(tblFLOWOD[[#This Row],[nama_asal]]=tblFLOWOD[[#This Row],[nama_tujuan]],"keluar","isi")</f>
        <v>isi</v>
      </c>
      <c r="I543" s="1" t="str">
        <f>METADATA_SOURCES!$A$2</f>
        <v>SRC001</v>
      </c>
    </row>
    <row r="544" spans="1:9" x14ac:dyDescent="0.3">
      <c r="A544" s="1">
        <v>36</v>
      </c>
      <c r="B544" s="1" t="s">
        <v>57</v>
      </c>
      <c r="C544" s="1">
        <v>91</v>
      </c>
      <c r="D544" s="1" t="s">
        <v>74</v>
      </c>
      <c r="E544" s="8">
        <v>210</v>
      </c>
      <c r="F544" s="1" t="s">
        <v>81</v>
      </c>
      <c r="G544" s="1">
        <v>2020</v>
      </c>
      <c r="H544" s="1" t="str">
        <f>IF(tblFLOWOD[[#This Row],[nama_asal]]=tblFLOWOD[[#This Row],[nama_tujuan]],"keluar","isi")</f>
        <v>isi</v>
      </c>
      <c r="I544" s="1" t="str">
        <f>METADATA_SOURCES!$A$2</f>
        <v>SRC001</v>
      </c>
    </row>
    <row r="545" spans="1:9" x14ac:dyDescent="0.3">
      <c r="A545" s="1">
        <v>36</v>
      </c>
      <c r="B545" s="1" t="s">
        <v>57</v>
      </c>
      <c r="C545" s="1">
        <v>94</v>
      </c>
      <c r="D545" s="1" t="s">
        <v>75</v>
      </c>
      <c r="E545" s="8">
        <v>372</v>
      </c>
      <c r="F545" s="1" t="s">
        <v>81</v>
      </c>
      <c r="G545" s="1">
        <v>2020</v>
      </c>
      <c r="H545" s="1" t="str">
        <f>IF(tblFLOWOD[[#This Row],[nama_asal]]=tblFLOWOD[[#This Row],[nama_tujuan]],"keluar","isi")</f>
        <v>isi</v>
      </c>
      <c r="I545" s="1" t="str">
        <f>METADATA_SOURCES!$A$2</f>
        <v>SRC001</v>
      </c>
    </row>
    <row r="546" spans="1:9" x14ac:dyDescent="0.3">
      <c r="A546" s="1">
        <v>51</v>
      </c>
      <c r="B546" s="1" t="s">
        <v>58</v>
      </c>
      <c r="C546" s="1">
        <v>11</v>
      </c>
      <c r="D546" s="1" t="s">
        <v>42</v>
      </c>
      <c r="E546" s="8">
        <v>0</v>
      </c>
      <c r="F546" s="1" t="s">
        <v>81</v>
      </c>
      <c r="G546" s="1">
        <v>2020</v>
      </c>
      <c r="H546" s="1" t="str">
        <f>IF(tblFLOWOD[[#This Row],[nama_asal]]=tblFLOWOD[[#This Row],[nama_tujuan]],"keluar","isi")</f>
        <v>isi</v>
      </c>
      <c r="I546" s="1" t="str">
        <f>METADATA_SOURCES!$A$2</f>
        <v>SRC001</v>
      </c>
    </row>
    <row r="547" spans="1:9" x14ac:dyDescent="0.3">
      <c r="A547" s="1">
        <v>51</v>
      </c>
      <c r="B547" s="1" t="s">
        <v>58</v>
      </c>
      <c r="C547" s="1">
        <v>12</v>
      </c>
      <c r="D547" s="1" t="s">
        <v>43</v>
      </c>
      <c r="E547" s="8">
        <v>874</v>
      </c>
      <c r="F547" s="1" t="s">
        <v>81</v>
      </c>
      <c r="G547" s="1">
        <v>2020</v>
      </c>
      <c r="H547" s="1" t="str">
        <f>IF(tblFLOWOD[[#This Row],[nama_asal]]=tblFLOWOD[[#This Row],[nama_tujuan]],"keluar","isi")</f>
        <v>isi</v>
      </c>
      <c r="I547" s="1" t="str">
        <f>METADATA_SOURCES!$A$2</f>
        <v>SRC001</v>
      </c>
    </row>
    <row r="548" spans="1:9" x14ac:dyDescent="0.3">
      <c r="A548" s="1">
        <v>51</v>
      </c>
      <c r="B548" s="1" t="s">
        <v>58</v>
      </c>
      <c r="C548" s="1">
        <v>13</v>
      </c>
      <c r="D548" s="1" t="s">
        <v>44</v>
      </c>
      <c r="E548" s="8">
        <v>733</v>
      </c>
      <c r="F548" s="1" t="s">
        <v>81</v>
      </c>
      <c r="G548" s="1">
        <v>2020</v>
      </c>
      <c r="H548" s="1" t="str">
        <f>IF(tblFLOWOD[[#This Row],[nama_asal]]=tblFLOWOD[[#This Row],[nama_tujuan]],"keluar","isi")</f>
        <v>isi</v>
      </c>
      <c r="I548" s="1" t="str">
        <f>METADATA_SOURCES!$A$2</f>
        <v>SRC001</v>
      </c>
    </row>
    <row r="549" spans="1:9" x14ac:dyDescent="0.3">
      <c r="A549" s="1">
        <v>51</v>
      </c>
      <c r="B549" s="1" t="s">
        <v>58</v>
      </c>
      <c r="C549" s="1">
        <v>14</v>
      </c>
      <c r="D549" s="1" t="s">
        <v>45</v>
      </c>
      <c r="E549" s="8">
        <v>61</v>
      </c>
      <c r="F549" s="1" t="s">
        <v>81</v>
      </c>
      <c r="G549" s="1">
        <v>2020</v>
      </c>
      <c r="H549" s="1" t="str">
        <f>IF(tblFLOWOD[[#This Row],[nama_asal]]=tblFLOWOD[[#This Row],[nama_tujuan]],"keluar","isi")</f>
        <v>isi</v>
      </c>
      <c r="I549" s="1" t="str">
        <f>METADATA_SOURCES!$A$2</f>
        <v>SRC001</v>
      </c>
    </row>
    <row r="550" spans="1:9" x14ac:dyDescent="0.3">
      <c r="A550" s="1">
        <v>51</v>
      </c>
      <c r="B550" s="1" t="s">
        <v>58</v>
      </c>
      <c r="C550" s="1">
        <v>15</v>
      </c>
      <c r="D550" s="1" t="s">
        <v>46</v>
      </c>
      <c r="E550" s="8">
        <v>80</v>
      </c>
      <c r="F550" s="1" t="s">
        <v>81</v>
      </c>
      <c r="G550" s="1">
        <v>2020</v>
      </c>
      <c r="H550" s="1" t="str">
        <f>IF(tblFLOWOD[[#This Row],[nama_asal]]=tblFLOWOD[[#This Row],[nama_tujuan]],"keluar","isi")</f>
        <v>isi</v>
      </c>
      <c r="I550" s="1" t="str">
        <f>METADATA_SOURCES!$A$2</f>
        <v>SRC001</v>
      </c>
    </row>
    <row r="551" spans="1:9" x14ac:dyDescent="0.3">
      <c r="A551" s="1">
        <v>51</v>
      </c>
      <c r="B551" s="1" t="s">
        <v>58</v>
      </c>
      <c r="C551" s="1">
        <v>16</v>
      </c>
      <c r="D551" s="1" t="s">
        <v>47</v>
      </c>
      <c r="E551" s="8">
        <v>328</v>
      </c>
      <c r="F551" s="1" t="s">
        <v>81</v>
      </c>
      <c r="G551" s="1">
        <v>2020</v>
      </c>
      <c r="H551" s="1" t="str">
        <f>IF(tblFLOWOD[[#This Row],[nama_asal]]=tblFLOWOD[[#This Row],[nama_tujuan]],"keluar","isi")</f>
        <v>isi</v>
      </c>
      <c r="I551" s="1" t="str">
        <f>METADATA_SOURCES!$A$2</f>
        <v>SRC001</v>
      </c>
    </row>
    <row r="552" spans="1:9" x14ac:dyDescent="0.3">
      <c r="A552" s="1">
        <v>51</v>
      </c>
      <c r="B552" s="1" t="s">
        <v>58</v>
      </c>
      <c r="C552" s="1">
        <v>17</v>
      </c>
      <c r="D552" s="1" t="s">
        <v>48</v>
      </c>
      <c r="E552" s="8">
        <v>96</v>
      </c>
      <c r="F552" s="1" t="s">
        <v>81</v>
      </c>
      <c r="G552" s="1">
        <v>2020</v>
      </c>
      <c r="H552" s="1" t="str">
        <f>IF(tblFLOWOD[[#This Row],[nama_asal]]=tblFLOWOD[[#This Row],[nama_tujuan]],"keluar","isi")</f>
        <v>isi</v>
      </c>
      <c r="I552" s="1" t="str">
        <f>METADATA_SOURCES!$A$2</f>
        <v>SRC001</v>
      </c>
    </row>
    <row r="553" spans="1:9" x14ac:dyDescent="0.3">
      <c r="A553" s="1">
        <v>51</v>
      </c>
      <c r="B553" s="1" t="s">
        <v>58</v>
      </c>
      <c r="C553" s="1">
        <v>18</v>
      </c>
      <c r="D553" s="1" t="s">
        <v>49</v>
      </c>
      <c r="E553" s="8">
        <v>773</v>
      </c>
      <c r="F553" s="1" t="s">
        <v>81</v>
      </c>
      <c r="G553" s="1">
        <v>2020</v>
      </c>
      <c r="H553" s="1" t="str">
        <f>IF(tblFLOWOD[[#This Row],[nama_asal]]=tblFLOWOD[[#This Row],[nama_tujuan]],"keluar","isi")</f>
        <v>isi</v>
      </c>
      <c r="I553" s="1" t="str">
        <f>METADATA_SOURCES!$A$2</f>
        <v>SRC001</v>
      </c>
    </row>
    <row r="554" spans="1:9" x14ac:dyDescent="0.3">
      <c r="A554" s="1">
        <v>51</v>
      </c>
      <c r="B554" s="1" t="s">
        <v>58</v>
      </c>
      <c r="C554" s="1">
        <v>19</v>
      </c>
      <c r="D554" s="1" t="s">
        <v>50</v>
      </c>
      <c r="E554" s="8">
        <v>117</v>
      </c>
      <c r="F554" s="1" t="s">
        <v>81</v>
      </c>
      <c r="G554" s="1">
        <v>2020</v>
      </c>
      <c r="H554" s="1" t="str">
        <f>IF(tblFLOWOD[[#This Row],[nama_asal]]=tblFLOWOD[[#This Row],[nama_tujuan]],"keluar","isi")</f>
        <v>isi</v>
      </c>
      <c r="I554" s="1" t="str">
        <f>METADATA_SOURCES!$A$2</f>
        <v>SRC001</v>
      </c>
    </row>
    <row r="555" spans="1:9" x14ac:dyDescent="0.3">
      <c r="A555" s="1">
        <v>51</v>
      </c>
      <c r="B555" s="1" t="s">
        <v>58</v>
      </c>
      <c r="C555" s="1">
        <v>21</v>
      </c>
      <c r="D555" s="1" t="s">
        <v>51</v>
      </c>
      <c r="E555" s="8">
        <v>439</v>
      </c>
      <c r="F555" s="1" t="s">
        <v>81</v>
      </c>
      <c r="G555" s="1">
        <v>2020</v>
      </c>
      <c r="H555" s="1" t="str">
        <f>IF(tblFLOWOD[[#This Row],[nama_asal]]=tblFLOWOD[[#This Row],[nama_tujuan]],"keluar","isi")</f>
        <v>isi</v>
      </c>
      <c r="I555" s="1" t="str">
        <f>METADATA_SOURCES!$A$2</f>
        <v>SRC001</v>
      </c>
    </row>
    <row r="556" spans="1:9" x14ac:dyDescent="0.3">
      <c r="A556" s="1">
        <v>51</v>
      </c>
      <c r="B556" s="1" t="s">
        <v>58</v>
      </c>
      <c r="C556" s="1">
        <v>31</v>
      </c>
      <c r="D556" s="1" t="s">
        <v>52</v>
      </c>
      <c r="E556" s="8">
        <v>1212</v>
      </c>
      <c r="F556" s="1" t="s">
        <v>81</v>
      </c>
      <c r="G556" s="1">
        <v>2020</v>
      </c>
      <c r="H556" s="1" t="str">
        <f>IF(tblFLOWOD[[#This Row],[nama_asal]]=tblFLOWOD[[#This Row],[nama_tujuan]],"keluar","isi")</f>
        <v>isi</v>
      </c>
      <c r="I556" s="1" t="str">
        <f>METADATA_SOURCES!$A$2</f>
        <v>SRC001</v>
      </c>
    </row>
    <row r="557" spans="1:9" x14ac:dyDescent="0.3">
      <c r="A557" s="1">
        <v>51</v>
      </c>
      <c r="B557" s="1" t="s">
        <v>58</v>
      </c>
      <c r="C557" s="1">
        <v>32</v>
      </c>
      <c r="D557" s="1" t="s">
        <v>53</v>
      </c>
      <c r="E557" s="8">
        <v>3179</v>
      </c>
      <c r="F557" s="1" t="s">
        <v>81</v>
      </c>
      <c r="G557" s="1">
        <v>2020</v>
      </c>
      <c r="H557" s="1" t="str">
        <f>IF(tblFLOWOD[[#This Row],[nama_asal]]=tblFLOWOD[[#This Row],[nama_tujuan]],"keluar","isi")</f>
        <v>isi</v>
      </c>
      <c r="I557" s="1" t="str">
        <f>METADATA_SOURCES!$A$2</f>
        <v>SRC001</v>
      </c>
    </row>
    <row r="558" spans="1:9" x14ac:dyDescent="0.3">
      <c r="A558" s="1">
        <v>51</v>
      </c>
      <c r="B558" s="1" t="s">
        <v>58</v>
      </c>
      <c r="C558" s="1">
        <v>33</v>
      </c>
      <c r="D558" s="1" t="s">
        <v>54</v>
      </c>
      <c r="E558" s="8">
        <v>6639</v>
      </c>
      <c r="F558" s="1" t="s">
        <v>81</v>
      </c>
      <c r="G558" s="1">
        <v>2020</v>
      </c>
      <c r="H558" s="1" t="str">
        <f>IF(tblFLOWOD[[#This Row],[nama_asal]]=tblFLOWOD[[#This Row],[nama_tujuan]],"keluar","isi")</f>
        <v>isi</v>
      </c>
      <c r="I558" s="1" t="str">
        <f>METADATA_SOURCES!$A$2</f>
        <v>SRC001</v>
      </c>
    </row>
    <row r="559" spans="1:9" x14ac:dyDescent="0.3">
      <c r="A559" s="1">
        <v>51</v>
      </c>
      <c r="B559" s="1" t="s">
        <v>58</v>
      </c>
      <c r="C559" s="1">
        <v>34</v>
      </c>
      <c r="D559" s="1" t="s">
        <v>55</v>
      </c>
      <c r="E559" s="8">
        <v>1892</v>
      </c>
      <c r="F559" s="1" t="s">
        <v>81</v>
      </c>
      <c r="G559" s="1">
        <v>2020</v>
      </c>
      <c r="H559" s="1" t="str">
        <f>IF(tblFLOWOD[[#This Row],[nama_asal]]=tblFLOWOD[[#This Row],[nama_tujuan]],"keluar","isi")</f>
        <v>isi</v>
      </c>
      <c r="I559" s="1" t="str">
        <f>METADATA_SOURCES!$A$2</f>
        <v>SRC001</v>
      </c>
    </row>
    <row r="560" spans="1:9" x14ac:dyDescent="0.3">
      <c r="A560" s="1">
        <v>51</v>
      </c>
      <c r="B560" s="1" t="s">
        <v>58</v>
      </c>
      <c r="C560" s="1">
        <v>35</v>
      </c>
      <c r="D560" s="1" t="s">
        <v>56</v>
      </c>
      <c r="E560" s="8">
        <v>26708</v>
      </c>
      <c r="F560" s="1" t="s">
        <v>81</v>
      </c>
      <c r="G560" s="1">
        <v>2020</v>
      </c>
      <c r="H560" s="1" t="str">
        <f>IF(tblFLOWOD[[#This Row],[nama_asal]]=tblFLOWOD[[#This Row],[nama_tujuan]],"keluar","isi")</f>
        <v>isi</v>
      </c>
      <c r="I560" s="1" t="str">
        <f>METADATA_SOURCES!$A$2</f>
        <v>SRC001</v>
      </c>
    </row>
    <row r="561" spans="1:9" x14ac:dyDescent="0.3">
      <c r="A561" s="1">
        <v>51</v>
      </c>
      <c r="B561" s="1" t="s">
        <v>58</v>
      </c>
      <c r="C561" s="1">
        <v>36</v>
      </c>
      <c r="D561" s="1" t="s">
        <v>57</v>
      </c>
      <c r="E561" s="8">
        <v>476</v>
      </c>
      <c r="F561" s="1" t="s">
        <v>81</v>
      </c>
      <c r="G561" s="1">
        <v>2020</v>
      </c>
      <c r="H561" s="1" t="str">
        <f>IF(tblFLOWOD[[#This Row],[nama_asal]]=tblFLOWOD[[#This Row],[nama_tujuan]],"keluar","isi")</f>
        <v>isi</v>
      </c>
      <c r="I561" s="1" t="str">
        <f>METADATA_SOURCES!$A$2</f>
        <v>SRC001</v>
      </c>
    </row>
    <row r="562" spans="1:9" x14ac:dyDescent="0.3">
      <c r="A562" s="1">
        <v>51</v>
      </c>
      <c r="B562" s="1" t="s">
        <v>58</v>
      </c>
      <c r="C562" s="1">
        <v>51</v>
      </c>
      <c r="D562" s="1" t="s">
        <v>58</v>
      </c>
      <c r="E562" s="8">
        <v>4063160</v>
      </c>
      <c r="F562" s="1" t="s">
        <v>81</v>
      </c>
      <c r="G562" s="1">
        <v>2020</v>
      </c>
      <c r="H562" s="1" t="str">
        <f>IF(tblFLOWOD[[#This Row],[nama_asal]]=tblFLOWOD[[#This Row],[nama_tujuan]],"keluar","isi")</f>
        <v>keluar</v>
      </c>
      <c r="I562" s="1" t="str">
        <f>METADATA_SOURCES!$A$2</f>
        <v>SRC001</v>
      </c>
    </row>
    <row r="563" spans="1:9" x14ac:dyDescent="0.3">
      <c r="A563" s="1">
        <v>51</v>
      </c>
      <c r="B563" s="1" t="s">
        <v>58</v>
      </c>
      <c r="C563" s="1">
        <v>52</v>
      </c>
      <c r="D563" s="1" t="s">
        <v>59</v>
      </c>
      <c r="E563" s="8">
        <v>11620</v>
      </c>
      <c r="F563" s="1" t="s">
        <v>81</v>
      </c>
      <c r="G563" s="1">
        <v>2020</v>
      </c>
      <c r="H563" s="1" t="str">
        <f>IF(tblFLOWOD[[#This Row],[nama_asal]]=tblFLOWOD[[#This Row],[nama_tujuan]],"keluar","isi")</f>
        <v>isi</v>
      </c>
      <c r="I563" s="1" t="str">
        <f>METADATA_SOURCES!$A$2</f>
        <v>SRC001</v>
      </c>
    </row>
    <row r="564" spans="1:9" x14ac:dyDescent="0.3">
      <c r="A564" s="1">
        <v>51</v>
      </c>
      <c r="B564" s="1" t="s">
        <v>58</v>
      </c>
      <c r="C564" s="1">
        <v>53</v>
      </c>
      <c r="D564" s="1" t="s">
        <v>60</v>
      </c>
      <c r="E564" s="8">
        <v>14451</v>
      </c>
      <c r="F564" s="1" t="s">
        <v>81</v>
      </c>
      <c r="G564" s="1">
        <v>2020</v>
      </c>
      <c r="H564" s="1" t="str">
        <f>IF(tblFLOWOD[[#This Row],[nama_asal]]=tblFLOWOD[[#This Row],[nama_tujuan]],"keluar","isi")</f>
        <v>isi</v>
      </c>
      <c r="I564" s="1" t="str">
        <f>METADATA_SOURCES!$A$2</f>
        <v>SRC001</v>
      </c>
    </row>
    <row r="565" spans="1:9" x14ac:dyDescent="0.3">
      <c r="A565" s="1">
        <v>51</v>
      </c>
      <c r="B565" s="1" t="s">
        <v>58</v>
      </c>
      <c r="C565" s="1">
        <v>61</v>
      </c>
      <c r="D565" s="1" t="s">
        <v>61</v>
      </c>
      <c r="E565" s="8">
        <v>206</v>
      </c>
      <c r="F565" s="1" t="s">
        <v>81</v>
      </c>
      <c r="G565" s="1">
        <v>2020</v>
      </c>
      <c r="H565" s="1" t="str">
        <f>IF(tblFLOWOD[[#This Row],[nama_asal]]=tblFLOWOD[[#This Row],[nama_tujuan]],"keluar","isi")</f>
        <v>isi</v>
      </c>
      <c r="I565" s="1" t="str">
        <f>METADATA_SOURCES!$A$2</f>
        <v>SRC001</v>
      </c>
    </row>
    <row r="566" spans="1:9" x14ac:dyDescent="0.3">
      <c r="A566" s="1">
        <v>51</v>
      </c>
      <c r="B566" s="1" t="s">
        <v>58</v>
      </c>
      <c r="C566" s="1">
        <v>62</v>
      </c>
      <c r="D566" s="1" t="s">
        <v>62</v>
      </c>
      <c r="E566" s="8">
        <v>145</v>
      </c>
      <c r="F566" s="1" t="s">
        <v>81</v>
      </c>
      <c r="G566" s="1">
        <v>2020</v>
      </c>
      <c r="H566" s="1" t="str">
        <f>IF(tblFLOWOD[[#This Row],[nama_asal]]=tblFLOWOD[[#This Row],[nama_tujuan]],"keluar","isi")</f>
        <v>isi</v>
      </c>
      <c r="I566" s="1" t="str">
        <f>METADATA_SOURCES!$A$2</f>
        <v>SRC001</v>
      </c>
    </row>
    <row r="567" spans="1:9" x14ac:dyDescent="0.3">
      <c r="A567" s="1">
        <v>51</v>
      </c>
      <c r="B567" s="1" t="s">
        <v>58</v>
      </c>
      <c r="C567" s="1">
        <v>63</v>
      </c>
      <c r="D567" s="1" t="s">
        <v>63</v>
      </c>
      <c r="E567" s="8">
        <v>362</v>
      </c>
      <c r="F567" s="1" t="s">
        <v>81</v>
      </c>
      <c r="G567" s="1">
        <v>2020</v>
      </c>
      <c r="H567" s="1" t="str">
        <f>IF(tblFLOWOD[[#This Row],[nama_asal]]=tblFLOWOD[[#This Row],[nama_tujuan]],"keluar","isi")</f>
        <v>isi</v>
      </c>
      <c r="I567" s="1" t="str">
        <f>METADATA_SOURCES!$A$2</f>
        <v>SRC001</v>
      </c>
    </row>
    <row r="568" spans="1:9" x14ac:dyDescent="0.3">
      <c r="A568" s="1">
        <v>51</v>
      </c>
      <c r="B568" s="1" t="s">
        <v>58</v>
      </c>
      <c r="C568" s="1">
        <v>64</v>
      </c>
      <c r="D568" s="1" t="s">
        <v>64</v>
      </c>
      <c r="E568" s="8">
        <v>314</v>
      </c>
      <c r="F568" s="1" t="s">
        <v>81</v>
      </c>
      <c r="G568" s="1">
        <v>2020</v>
      </c>
      <c r="H568" s="1" t="str">
        <f>IF(tblFLOWOD[[#This Row],[nama_asal]]=tblFLOWOD[[#This Row],[nama_tujuan]],"keluar","isi")</f>
        <v>isi</v>
      </c>
      <c r="I568" s="1" t="str">
        <f>METADATA_SOURCES!$A$2</f>
        <v>SRC001</v>
      </c>
    </row>
    <row r="569" spans="1:9" x14ac:dyDescent="0.3">
      <c r="A569" s="1">
        <v>51</v>
      </c>
      <c r="B569" s="1" t="s">
        <v>58</v>
      </c>
      <c r="C569" s="1">
        <v>65</v>
      </c>
      <c r="D569" s="1" t="s">
        <v>65</v>
      </c>
      <c r="E569" s="8">
        <v>49</v>
      </c>
      <c r="F569" s="1" t="s">
        <v>81</v>
      </c>
      <c r="G569" s="1">
        <v>2020</v>
      </c>
      <c r="H569" s="1" t="str">
        <f>IF(tblFLOWOD[[#This Row],[nama_asal]]=tblFLOWOD[[#This Row],[nama_tujuan]],"keluar","isi")</f>
        <v>isi</v>
      </c>
      <c r="I569" s="1" t="str">
        <f>METADATA_SOURCES!$A$2</f>
        <v>SRC001</v>
      </c>
    </row>
    <row r="570" spans="1:9" x14ac:dyDescent="0.3">
      <c r="A570" s="1">
        <v>51</v>
      </c>
      <c r="B570" s="1" t="s">
        <v>58</v>
      </c>
      <c r="C570" s="1">
        <v>71</v>
      </c>
      <c r="D570" s="1" t="s">
        <v>66</v>
      </c>
      <c r="E570" s="8">
        <v>395</v>
      </c>
      <c r="F570" s="1" t="s">
        <v>81</v>
      </c>
      <c r="G570" s="1">
        <v>2020</v>
      </c>
      <c r="H570" s="1" t="str">
        <f>IF(tblFLOWOD[[#This Row],[nama_asal]]=tblFLOWOD[[#This Row],[nama_tujuan]],"keluar","isi")</f>
        <v>isi</v>
      </c>
      <c r="I570" s="1" t="str">
        <f>METADATA_SOURCES!$A$2</f>
        <v>SRC001</v>
      </c>
    </row>
    <row r="571" spans="1:9" x14ac:dyDescent="0.3">
      <c r="A571" s="1">
        <v>51</v>
      </c>
      <c r="B571" s="1" t="s">
        <v>58</v>
      </c>
      <c r="C571" s="1">
        <v>72</v>
      </c>
      <c r="D571" s="1" t="s">
        <v>67</v>
      </c>
      <c r="E571" s="8">
        <v>713</v>
      </c>
      <c r="F571" s="1" t="s">
        <v>81</v>
      </c>
      <c r="G571" s="1">
        <v>2020</v>
      </c>
      <c r="H571" s="1" t="str">
        <f>IF(tblFLOWOD[[#This Row],[nama_asal]]=tblFLOWOD[[#This Row],[nama_tujuan]],"keluar","isi")</f>
        <v>isi</v>
      </c>
      <c r="I571" s="1" t="str">
        <f>METADATA_SOURCES!$A$2</f>
        <v>SRC001</v>
      </c>
    </row>
    <row r="572" spans="1:9" x14ac:dyDescent="0.3">
      <c r="A572" s="1">
        <v>51</v>
      </c>
      <c r="B572" s="1" t="s">
        <v>58</v>
      </c>
      <c r="C572" s="1">
        <v>73</v>
      </c>
      <c r="D572" s="1" t="s">
        <v>68</v>
      </c>
      <c r="E572" s="8">
        <v>607</v>
      </c>
      <c r="F572" s="1" t="s">
        <v>81</v>
      </c>
      <c r="G572" s="1">
        <v>2020</v>
      </c>
      <c r="H572" s="1" t="str">
        <f>IF(tblFLOWOD[[#This Row],[nama_asal]]=tblFLOWOD[[#This Row],[nama_tujuan]],"keluar","isi")</f>
        <v>isi</v>
      </c>
      <c r="I572" s="1" t="str">
        <f>METADATA_SOURCES!$A$2</f>
        <v>SRC001</v>
      </c>
    </row>
    <row r="573" spans="1:9" x14ac:dyDescent="0.3">
      <c r="A573" s="1">
        <v>51</v>
      </c>
      <c r="B573" s="1" t="s">
        <v>58</v>
      </c>
      <c r="C573" s="1">
        <v>74</v>
      </c>
      <c r="D573" s="1" t="s">
        <v>69</v>
      </c>
      <c r="E573" s="8">
        <v>550</v>
      </c>
      <c r="F573" s="1" t="s">
        <v>81</v>
      </c>
      <c r="G573" s="1">
        <v>2020</v>
      </c>
      <c r="H573" s="1" t="str">
        <f>IF(tblFLOWOD[[#This Row],[nama_asal]]=tblFLOWOD[[#This Row],[nama_tujuan]],"keluar","isi")</f>
        <v>isi</v>
      </c>
      <c r="I573" s="1" t="str">
        <f>METADATA_SOURCES!$A$2</f>
        <v>SRC001</v>
      </c>
    </row>
    <row r="574" spans="1:9" x14ac:dyDescent="0.3">
      <c r="A574" s="1">
        <v>51</v>
      </c>
      <c r="B574" s="1" t="s">
        <v>58</v>
      </c>
      <c r="C574" s="1">
        <v>75</v>
      </c>
      <c r="D574" s="1" t="s">
        <v>70</v>
      </c>
      <c r="E574" s="8">
        <v>31</v>
      </c>
      <c r="F574" s="1" t="s">
        <v>81</v>
      </c>
      <c r="G574" s="1">
        <v>2020</v>
      </c>
      <c r="H574" s="1" t="str">
        <f>IF(tblFLOWOD[[#This Row],[nama_asal]]=tblFLOWOD[[#This Row],[nama_tujuan]],"keluar","isi")</f>
        <v>isi</v>
      </c>
      <c r="I574" s="1" t="str">
        <f>METADATA_SOURCES!$A$2</f>
        <v>SRC001</v>
      </c>
    </row>
    <row r="575" spans="1:9" x14ac:dyDescent="0.3">
      <c r="A575" s="1">
        <v>51</v>
      </c>
      <c r="B575" s="1" t="s">
        <v>58</v>
      </c>
      <c r="C575" s="1">
        <v>76</v>
      </c>
      <c r="D575" s="1" t="s">
        <v>71</v>
      </c>
      <c r="E575" s="8">
        <v>388</v>
      </c>
      <c r="F575" s="1" t="s">
        <v>81</v>
      </c>
      <c r="G575" s="1">
        <v>2020</v>
      </c>
      <c r="H575" s="1" t="str">
        <f>IF(tblFLOWOD[[#This Row],[nama_asal]]=tblFLOWOD[[#This Row],[nama_tujuan]],"keluar","isi")</f>
        <v>isi</v>
      </c>
      <c r="I575" s="1" t="str">
        <f>METADATA_SOURCES!$A$2</f>
        <v>SRC001</v>
      </c>
    </row>
    <row r="576" spans="1:9" x14ac:dyDescent="0.3">
      <c r="A576" s="1">
        <v>51</v>
      </c>
      <c r="B576" s="1" t="s">
        <v>58</v>
      </c>
      <c r="C576" s="1">
        <v>81</v>
      </c>
      <c r="D576" s="1" t="s">
        <v>72</v>
      </c>
      <c r="E576" s="8">
        <v>181</v>
      </c>
      <c r="F576" s="1" t="s">
        <v>81</v>
      </c>
      <c r="G576" s="1">
        <v>2020</v>
      </c>
      <c r="H576" s="1" t="str">
        <f>IF(tblFLOWOD[[#This Row],[nama_asal]]=tblFLOWOD[[#This Row],[nama_tujuan]],"keluar","isi")</f>
        <v>isi</v>
      </c>
      <c r="I576" s="1" t="str">
        <f>METADATA_SOURCES!$A$2</f>
        <v>SRC001</v>
      </c>
    </row>
    <row r="577" spans="1:9" x14ac:dyDescent="0.3">
      <c r="A577" s="1">
        <v>51</v>
      </c>
      <c r="B577" s="1" t="s">
        <v>58</v>
      </c>
      <c r="C577" s="1">
        <v>82</v>
      </c>
      <c r="D577" s="1" t="s">
        <v>73</v>
      </c>
      <c r="E577" s="8">
        <v>62</v>
      </c>
      <c r="F577" s="1" t="s">
        <v>81</v>
      </c>
      <c r="G577" s="1">
        <v>2020</v>
      </c>
      <c r="H577" s="1" t="str">
        <f>IF(tblFLOWOD[[#This Row],[nama_asal]]=tblFLOWOD[[#This Row],[nama_tujuan]],"keluar","isi")</f>
        <v>isi</v>
      </c>
      <c r="I577" s="1" t="str">
        <f>METADATA_SOURCES!$A$2</f>
        <v>SRC001</v>
      </c>
    </row>
    <row r="578" spans="1:9" x14ac:dyDescent="0.3">
      <c r="A578" s="1">
        <v>51</v>
      </c>
      <c r="B578" s="1" t="s">
        <v>58</v>
      </c>
      <c r="C578" s="1">
        <v>91</v>
      </c>
      <c r="D578" s="1" t="s">
        <v>74</v>
      </c>
      <c r="E578" s="8">
        <v>202</v>
      </c>
      <c r="F578" s="1" t="s">
        <v>81</v>
      </c>
      <c r="G578" s="1">
        <v>2020</v>
      </c>
      <c r="H578" s="1" t="str">
        <f>IF(tblFLOWOD[[#This Row],[nama_asal]]=tblFLOWOD[[#This Row],[nama_tujuan]],"keluar","isi")</f>
        <v>isi</v>
      </c>
      <c r="I578" s="1" t="str">
        <f>METADATA_SOURCES!$A$2</f>
        <v>SRC001</v>
      </c>
    </row>
    <row r="579" spans="1:9" x14ac:dyDescent="0.3">
      <c r="A579" s="1">
        <v>51</v>
      </c>
      <c r="B579" s="1" t="s">
        <v>58</v>
      </c>
      <c r="C579" s="1">
        <v>94</v>
      </c>
      <c r="D579" s="1" t="s">
        <v>75</v>
      </c>
      <c r="E579" s="8">
        <v>185</v>
      </c>
      <c r="F579" s="1" t="s">
        <v>81</v>
      </c>
      <c r="G579" s="1">
        <v>2020</v>
      </c>
      <c r="H579" s="1" t="str">
        <f>IF(tblFLOWOD[[#This Row],[nama_asal]]=tblFLOWOD[[#This Row],[nama_tujuan]],"keluar","isi")</f>
        <v>isi</v>
      </c>
      <c r="I579" s="1" t="str">
        <f>METADATA_SOURCES!$A$2</f>
        <v>SRC001</v>
      </c>
    </row>
    <row r="580" spans="1:9" x14ac:dyDescent="0.3">
      <c r="A580" s="1">
        <v>52</v>
      </c>
      <c r="B580" s="1" t="s">
        <v>59</v>
      </c>
      <c r="C580" s="1">
        <v>11</v>
      </c>
      <c r="D580" s="1" t="s">
        <v>42</v>
      </c>
      <c r="E580" s="8">
        <v>86</v>
      </c>
      <c r="F580" s="1" t="s">
        <v>81</v>
      </c>
      <c r="G580" s="1">
        <v>2020</v>
      </c>
      <c r="H580" s="1" t="str">
        <f>IF(tblFLOWOD[[#This Row],[nama_asal]]=tblFLOWOD[[#This Row],[nama_tujuan]],"keluar","isi")</f>
        <v>isi</v>
      </c>
      <c r="I580" s="1" t="str">
        <f>METADATA_SOURCES!$A$2</f>
        <v>SRC001</v>
      </c>
    </row>
    <row r="581" spans="1:9" x14ac:dyDescent="0.3">
      <c r="A581" s="1">
        <v>52</v>
      </c>
      <c r="B581" s="1" t="s">
        <v>59</v>
      </c>
      <c r="C581" s="1">
        <v>12</v>
      </c>
      <c r="D581" s="1" t="s">
        <v>43</v>
      </c>
      <c r="E581" s="8">
        <v>823</v>
      </c>
      <c r="F581" s="1" t="s">
        <v>81</v>
      </c>
      <c r="G581" s="1">
        <v>2020</v>
      </c>
      <c r="H581" s="1" t="str">
        <f>IF(tblFLOWOD[[#This Row],[nama_asal]]=tblFLOWOD[[#This Row],[nama_tujuan]],"keluar","isi")</f>
        <v>isi</v>
      </c>
      <c r="I581" s="1" t="str">
        <f>METADATA_SOURCES!$A$2</f>
        <v>SRC001</v>
      </c>
    </row>
    <row r="582" spans="1:9" x14ac:dyDescent="0.3">
      <c r="A582" s="1">
        <v>52</v>
      </c>
      <c r="B582" s="1" t="s">
        <v>59</v>
      </c>
      <c r="C582" s="1">
        <v>13</v>
      </c>
      <c r="D582" s="1" t="s">
        <v>44</v>
      </c>
      <c r="E582" s="8">
        <v>385</v>
      </c>
      <c r="F582" s="1" t="s">
        <v>81</v>
      </c>
      <c r="G582" s="1">
        <v>2020</v>
      </c>
      <c r="H582" s="1" t="str">
        <f>IF(tblFLOWOD[[#This Row],[nama_asal]]=tblFLOWOD[[#This Row],[nama_tujuan]],"keluar","isi")</f>
        <v>isi</v>
      </c>
      <c r="I582" s="1" t="str">
        <f>METADATA_SOURCES!$A$2</f>
        <v>SRC001</v>
      </c>
    </row>
    <row r="583" spans="1:9" x14ac:dyDescent="0.3">
      <c r="A583" s="1">
        <v>52</v>
      </c>
      <c r="B583" s="1" t="s">
        <v>59</v>
      </c>
      <c r="C583" s="1">
        <v>14</v>
      </c>
      <c r="D583" s="1" t="s">
        <v>45</v>
      </c>
      <c r="E583" s="8">
        <v>235</v>
      </c>
      <c r="F583" s="1" t="s">
        <v>81</v>
      </c>
      <c r="G583" s="1">
        <v>2020</v>
      </c>
      <c r="H583" s="1" t="str">
        <f>IF(tblFLOWOD[[#This Row],[nama_asal]]=tblFLOWOD[[#This Row],[nama_tujuan]],"keluar","isi")</f>
        <v>isi</v>
      </c>
      <c r="I583" s="1" t="str">
        <f>METADATA_SOURCES!$A$2</f>
        <v>SRC001</v>
      </c>
    </row>
    <row r="584" spans="1:9" x14ac:dyDescent="0.3">
      <c r="A584" s="1">
        <v>52</v>
      </c>
      <c r="B584" s="1" t="s">
        <v>59</v>
      </c>
      <c r="C584" s="1">
        <v>15</v>
      </c>
      <c r="D584" s="1" t="s">
        <v>46</v>
      </c>
      <c r="E584" s="8">
        <v>117</v>
      </c>
      <c r="F584" s="1" t="s">
        <v>81</v>
      </c>
      <c r="G584" s="1">
        <v>2020</v>
      </c>
      <c r="H584" s="1" t="str">
        <f>IF(tblFLOWOD[[#This Row],[nama_asal]]=tblFLOWOD[[#This Row],[nama_tujuan]],"keluar","isi")</f>
        <v>isi</v>
      </c>
      <c r="I584" s="1" t="str">
        <f>METADATA_SOURCES!$A$2</f>
        <v>SRC001</v>
      </c>
    </row>
    <row r="585" spans="1:9" x14ac:dyDescent="0.3">
      <c r="A585" s="1">
        <v>52</v>
      </c>
      <c r="B585" s="1" t="s">
        <v>59</v>
      </c>
      <c r="C585" s="1">
        <v>16</v>
      </c>
      <c r="D585" s="1" t="s">
        <v>47</v>
      </c>
      <c r="E585" s="8">
        <v>175</v>
      </c>
      <c r="F585" s="1" t="s">
        <v>81</v>
      </c>
      <c r="G585" s="1">
        <v>2020</v>
      </c>
      <c r="H585" s="1" t="str">
        <f>IF(tblFLOWOD[[#This Row],[nama_asal]]=tblFLOWOD[[#This Row],[nama_tujuan]],"keluar","isi")</f>
        <v>isi</v>
      </c>
      <c r="I585" s="1" t="str">
        <f>METADATA_SOURCES!$A$2</f>
        <v>SRC001</v>
      </c>
    </row>
    <row r="586" spans="1:9" x14ac:dyDescent="0.3">
      <c r="A586" s="1">
        <v>52</v>
      </c>
      <c r="B586" s="1" t="s">
        <v>59</v>
      </c>
      <c r="C586" s="1">
        <v>17</v>
      </c>
      <c r="D586" s="1" t="s">
        <v>48</v>
      </c>
      <c r="E586" s="8">
        <v>69</v>
      </c>
      <c r="F586" s="1" t="s">
        <v>81</v>
      </c>
      <c r="G586" s="1">
        <v>2020</v>
      </c>
      <c r="H586" s="1" t="str">
        <f>IF(tblFLOWOD[[#This Row],[nama_asal]]=tblFLOWOD[[#This Row],[nama_tujuan]],"keluar","isi")</f>
        <v>isi</v>
      </c>
      <c r="I586" s="1" t="str">
        <f>METADATA_SOURCES!$A$2</f>
        <v>SRC001</v>
      </c>
    </row>
    <row r="587" spans="1:9" x14ac:dyDescent="0.3">
      <c r="A587" s="1">
        <v>52</v>
      </c>
      <c r="B587" s="1" t="s">
        <v>59</v>
      </c>
      <c r="C587" s="1">
        <v>18</v>
      </c>
      <c r="D587" s="1" t="s">
        <v>49</v>
      </c>
      <c r="E587" s="8">
        <v>44</v>
      </c>
      <c r="F587" s="1" t="s">
        <v>81</v>
      </c>
      <c r="G587" s="1">
        <v>2020</v>
      </c>
      <c r="H587" s="1" t="str">
        <f>IF(tblFLOWOD[[#This Row],[nama_asal]]=tblFLOWOD[[#This Row],[nama_tujuan]],"keluar","isi")</f>
        <v>isi</v>
      </c>
      <c r="I587" s="1" t="str">
        <f>METADATA_SOURCES!$A$2</f>
        <v>SRC001</v>
      </c>
    </row>
    <row r="588" spans="1:9" x14ac:dyDescent="0.3">
      <c r="A588" s="1">
        <v>52</v>
      </c>
      <c r="B588" s="1" t="s">
        <v>59</v>
      </c>
      <c r="C588" s="1">
        <v>19</v>
      </c>
      <c r="D588" s="1" t="s">
        <v>50</v>
      </c>
      <c r="E588" s="8">
        <v>591</v>
      </c>
      <c r="F588" s="1" t="s">
        <v>81</v>
      </c>
      <c r="G588" s="1">
        <v>2020</v>
      </c>
      <c r="H588" s="1" t="str">
        <f>IF(tblFLOWOD[[#This Row],[nama_asal]]=tblFLOWOD[[#This Row],[nama_tujuan]],"keluar","isi")</f>
        <v>isi</v>
      </c>
      <c r="I588" s="1" t="str">
        <f>METADATA_SOURCES!$A$2</f>
        <v>SRC001</v>
      </c>
    </row>
    <row r="589" spans="1:9" x14ac:dyDescent="0.3">
      <c r="A589" s="1">
        <v>52</v>
      </c>
      <c r="B589" s="1" t="s">
        <v>59</v>
      </c>
      <c r="C589" s="1">
        <v>21</v>
      </c>
      <c r="D589" s="1" t="s">
        <v>51</v>
      </c>
      <c r="E589" s="8">
        <v>612</v>
      </c>
      <c r="F589" s="1" t="s">
        <v>81</v>
      </c>
      <c r="G589" s="1">
        <v>2020</v>
      </c>
      <c r="H589" s="1" t="str">
        <f>IF(tblFLOWOD[[#This Row],[nama_asal]]=tblFLOWOD[[#This Row],[nama_tujuan]],"keluar","isi")</f>
        <v>isi</v>
      </c>
      <c r="I589" s="1" t="str">
        <f>METADATA_SOURCES!$A$2</f>
        <v>SRC001</v>
      </c>
    </row>
    <row r="590" spans="1:9" x14ac:dyDescent="0.3">
      <c r="A590" s="1">
        <v>52</v>
      </c>
      <c r="B590" s="1" t="s">
        <v>59</v>
      </c>
      <c r="C590" s="1">
        <v>31</v>
      </c>
      <c r="D590" s="1" t="s">
        <v>52</v>
      </c>
      <c r="E590" s="8">
        <v>1137</v>
      </c>
      <c r="F590" s="1" t="s">
        <v>81</v>
      </c>
      <c r="G590" s="1">
        <v>2020</v>
      </c>
      <c r="H590" s="1" t="str">
        <f>IF(tblFLOWOD[[#This Row],[nama_asal]]=tblFLOWOD[[#This Row],[nama_tujuan]],"keluar","isi")</f>
        <v>isi</v>
      </c>
      <c r="I590" s="1" t="str">
        <f>METADATA_SOURCES!$A$2</f>
        <v>SRC001</v>
      </c>
    </row>
    <row r="591" spans="1:9" x14ac:dyDescent="0.3">
      <c r="A591" s="1">
        <v>52</v>
      </c>
      <c r="B591" s="1" t="s">
        <v>59</v>
      </c>
      <c r="C591" s="1">
        <v>32</v>
      </c>
      <c r="D591" s="1" t="s">
        <v>53</v>
      </c>
      <c r="E591" s="8">
        <v>1468</v>
      </c>
      <c r="F591" s="1" t="s">
        <v>81</v>
      </c>
      <c r="G591" s="1">
        <v>2020</v>
      </c>
      <c r="H591" s="1" t="str">
        <f>IF(tblFLOWOD[[#This Row],[nama_asal]]=tblFLOWOD[[#This Row],[nama_tujuan]],"keluar","isi")</f>
        <v>isi</v>
      </c>
      <c r="I591" s="1" t="str">
        <f>METADATA_SOURCES!$A$2</f>
        <v>SRC001</v>
      </c>
    </row>
    <row r="592" spans="1:9" x14ac:dyDescent="0.3">
      <c r="A592" s="1">
        <v>52</v>
      </c>
      <c r="B592" s="1" t="s">
        <v>59</v>
      </c>
      <c r="C592" s="1">
        <v>33</v>
      </c>
      <c r="D592" s="1" t="s">
        <v>54</v>
      </c>
      <c r="E592" s="8">
        <v>2437</v>
      </c>
      <c r="F592" s="1" t="s">
        <v>81</v>
      </c>
      <c r="G592" s="1">
        <v>2020</v>
      </c>
      <c r="H592" s="1" t="str">
        <f>IF(tblFLOWOD[[#This Row],[nama_asal]]=tblFLOWOD[[#This Row],[nama_tujuan]],"keluar","isi")</f>
        <v>isi</v>
      </c>
      <c r="I592" s="1" t="str">
        <f>METADATA_SOURCES!$A$2</f>
        <v>SRC001</v>
      </c>
    </row>
    <row r="593" spans="1:9" x14ac:dyDescent="0.3">
      <c r="A593" s="1">
        <v>52</v>
      </c>
      <c r="B593" s="1" t="s">
        <v>59</v>
      </c>
      <c r="C593" s="1">
        <v>34</v>
      </c>
      <c r="D593" s="1" t="s">
        <v>55</v>
      </c>
      <c r="E593" s="8">
        <v>1847</v>
      </c>
      <c r="F593" s="1" t="s">
        <v>81</v>
      </c>
      <c r="G593" s="1">
        <v>2020</v>
      </c>
      <c r="H593" s="1" t="str">
        <f>IF(tblFLOWOD[[#This Row],[nama_asal]]=tblFLOWOD[[#This Row],[nama_tujuan]],"keluar","isi")</f>
        <v>isi</v>
      </c>
      <c r="I593" s="1" t="str">
        <f>METADATA_SOURCES!$A$2</f>
        <v>SRC001</v>
      </c>
    </row>
    <row r="594" spans="1:9" x14ac:dyDescent="0.3">
      <c r="A594" s="1">
        <v>52</v>
      </c>
      <c r="B594" s="1" t="s">
        <v>59</v>
      </c>
      <c r="C594" s="1">
        <v>35</v>
      </c>
      <c r="D594" s="1" t="s">
        <v>56</v>
      </c>
      <c r="E594" s="8">
        <v>3982</v>
      </c>
      <c r="F594" s="1" t="s">
        <v>81</v>
      </c>
      <c r="G594" s="1">
        <v>2020</v>
      </c>
      <c r="H594" s="1" t="str">
        <f>IF(tblFLOWOD[[#This Row],[nama_asal]]=tblFLOWOD[[#This Row],[nama_tujuan]],"keluar","isi")</f>
        <v>isi</v>
      </c>
      <c r="I594" s="1" t="str">
        <f>METADATA_SOURCES!$A$2</f>
        <v>SRC001</v>
      </c>
    </row>
    <row r="595" spans="1:9" x14ac:dyDescent="0.3">
      <c r="A595" s="1">
        <v>52</v>
      </c>
      <c r="B595" s="1" t="s">
        <v>59</v>
      </c>
      <c r="C595" s="1">
        <v>36</v>
      </c>
      <c r="D595" s="1" t="s">
        <v>57</v>
      </c>
      <c r="E595" s="8">
        <v>444</v>
      </c>
      <c r="F595" s="1" t="s">
        <v>81</v>
      </c>
      <c r="G595" s="1">
        <v>2020</v>
      </c>
      <c r="H595" s="1" t="str">
        <f>IF(tblFLOWOD[[#This Row],[nama_asal]]=tblFLOWOD[[#This Row],[nama_tujuan]],"keluar","isi")</f>
        <v>isi</v>
      </c>
      <c r="I595" s="1" t="str">
        <f>METADATA_SOURCES!$A$2</f>
        <v>SRC001</v>
      </c>
    </row>
    <row r="596" spans="1:9" x14ac:dyDescent="0.3">
      <c r="A596" s="1">
        <v>52</v>
      </c>
      <c r="B596" s="1" t="s">
        <v>59</v>
      </c>
      <c r="C596" s="1">
        <v>51</v>
      </c>
      <c r="D596" s="1" t="s">
        <v>58</v>
      </c>
      <c r="E596" s="8">
        <v>3713</v>
      </c>
      <c r="F596" s="1" t="s">
        <v>81</v>
      </c>
      <c r="G596" s="1">
        <v>2020</v>
      </c>
      <c r="H596" s="1" t="str">
        <f>IF(tblFLOWOD[[#This Row],[nama_asal]]=tblFLOWOD[[#This Row],[nama_tujuan]],"keluar","isi")</f>
        <v>isi</v>
      </c>
      <c r="I596" s="1" t="str">
        <f>METADATA_SOURCES!$A$2</f>
        <v>SRC001</v>
      </c>
    </row>
    <row r="597" spans="1:9" x14ac:dyDescent="0.3">
      <c r="A597" s="1">
        <v>52</v>
      </c>
      <c r="B597" s="1" t="s">
        <v>59</v>
      </c>
      <c r="C597" s="1">
        <v>52</v>
      </c>
      <c r="D597" s="1" t="s">
        <v>59</v>
      </c>
      <c r="E597" s="8">
        <v>4811682</v>
      </c>
      <c r="F597" s="1" t="s">
        <v>81</v>
      </c>
      <c r="G597" s="1">
        <v>2020</v>
      </c>
      <c r="H597" s="1" t="str">
        <f>IF(tblFLOWOD[[#This Row],[nama_asal]]=tblFLOWOD[[#This Row],[nama_tujuan]],"keluar","isi")</f>
        <v>keluar</v>
      </c>
      <c r="I597" s="1" t="str">
        <f>METADATA_SOURCES!$A$2</f>
        <v>SRC001</v>
      </c>
    </row>
    <row r="598" spans="1:9" x14ac:dyDescent="0.3">
      <c r="A598" s="1">
        <v>52</v>
      </c>
      <c r="B598" s="1" t="s">
        <v>59</v>
      </c>
      <c r="C598" s="1">
        <v>53</v>
      </c>
      <c r="D598" s="1" t="s">
        <v>60</v>
      </c>
      <c r="E598" s="8">
        <v>3556</v>
      </c>
      <c r="F598" s="1" t="s">
        <v>81</v>
      </c>
      <c r="G598" s="1">
        <v>2020</v>
      </c>
      <c r="H598" s="1" t="str">
        <f>IF(tblFLOWOD[[#This Row],[nama_asal]]=tblFLOWOD[[#This Row],[nama_tujuan]],"keluar","isi")</f>
        <v>isi</v>
      </c>
      <c r="I598" s="1" t="str">
        <f>METADATA_SOURCES!$A$2</f>
        <v>SRC001</v>
      </c>
    </row>
    <row r="599" spans="1:9" x14ac:dyDescent="0.3">
      <c r="A599" s="1">
        <v>52</v>
      </c>
      <c r="B599" s="1" t="s">
        <v>59</v>
      </c>
      <c r="C599" s="1">
        <v>61</v>
      </c>
      <c r="D599" s="1" t="s">
        <v>61</v>
      </c>
      <c r="E599" s="8">
        <v>344</v>
      </c>
      <c r="F599" s="1" t="s">
        <v>81</v>
      </c>
      <c r="G599" s="1">
        <v>2020</v>
      </c>
      <c r="H599" s="1" t="str">
        <f>IF(tblFLOWOD[[#This Row],[nama_asal]]=tblFLOWOD[[#This Row],[nama_tujuan]],"keluar","isi")</f>
        <v>isi</v>
      </c>
      <c r="I599" s="1" t="str">
        <f>METADATA_SOURCES!$A$2</f>
        <v>SRC001</v>
      </c>
    </row>
    <row r="600" spans="1:9" x14ac:dyDescent="0.3">
      <c r="A600" s="1">
        <v>52</v>
      </c>
      <c r="B600" s="1" t="s">
        <v>59</v>
      </c>
      <c r="C600" s="1">
        <v>62</v>
      </c>
      <c r="D600" s="1" t="s">
        <v>62</v>
      </c>
      <c r="E600" s="8">
        <v>2435</v>
      </c>
      <c r="F600" s="1" t="s">
        <v>81</v>
      </c>
      <c r="G600" s="1">
        <v>2020</v>
      </c>
      <c r="H600" s="1" t="str">
        <f>IF(tblFLOWOD[[#This Row],[nama_asal]]=tblFLOWOD[[#This Row],[nama_tujuan]],"keluar","isi")</f>
        <v>isi</v>
      </c>
      <c r="I600" s="1" t="str">
        <f>METADATA_SOURCES!$A$2</f>
        <v>SRC001</v>
      </c>
    </row>
    <row r="601" spans="1:9" x14ac:dyDescent="0.3">
      <c r="A601" s="1">
        <v>52</v>
      </c>
      <c r="B601" s="1" t="s">
        <v>59</v>
      </c>
      <c r="C601" s="1">
        <v>63</v>
      </c>
      <c r="D601" s="1" t="s">
        <v>63</v>
      </c>
      <c r="E601" s="8">
        <v>1477</v>
      </c>
      <c r="F601" s="1" t="s">
        <v>81</v>
      </c>
      <c r="G601" s="1">
        <v>2020</v>
      </c>
      <c r="H601" s="1" t="str">
        <f>IF(tblFLOWOD[[#This Row],[nama_asal]]=tblFLOWOD[[#This Row],[nama_tujuan]],"keluar","isi")</f>
        <v>isi</v>
      </c>
      <c r="I601" s="1" t="str">
        <f>METADATA_SOURCES!$A$2</f>
        <v>SRC001</v>
      </c>
    </row>
    <row r="602" spans="1:9" x14ac:dyDescent="0.3">
      <c r="A602" s="1">
        <v>52</v>
      </c>
      <c r="B602" s="1" t="s">
        <v>59</v>
      </c>
      <c r="C602" s="1">
        <v>64</v>
      </c>
      <c r="D602" s="1" t="s">
        <v>64</v>
      </c>
      <c r="E602" s="8">
        <v>1790</v>
      </c>
      <c r="F602" s="1" t="s">
        <v>81</v>
      </c>
      <c r="G602" s="1">
        <v>2020</v>
      </c>
      <c r="H602" s="1" t="str">
        <f>IF(tblFLOWOD[[#This Row],[nama_asal]]=tblFLOWOD[[#This Row],[nama_tujuan]],"keluar","isi")</f>
        <v>isi</v>
      </c>
      <c r="I602" s="1" t="str">
        <f>METADATA_SOURCES!$A$2</f>
        <v>SRC001</v>
      </c>
    </row>
    <row r="603" spans="1:9" x14ac:dyDescent="0.3">
      <c r="A603" s="1">
        <v>52</v>
      </c>
      <c r="B603" s="1" t="s">
        <v>59</v>
      </c>
      <c r="C603" s="1">
        <v>65</v>
      </c>
      <c r="D603" s="1" t="s">
        <v>65</v>
      </c>
      <c r="E603" s="8">
        <v>174</v>
      </c>
      <c r="F603" s="1" t="s">
        <v>81</v>
      </c>
      <c r="G603" s="1">
        <v>2020</v>
      </c>
      <c r="H603" s="1" t="str">
        <f>IF(tblFLOWOD[[#This Row],[nama_asal]]=tblFLOWOD[[#This Row],[nama_tujuan]],"keluar","isi")</f>
        <v>isi</v>
      </c>
      <c r="I603" s="1" t="str">
        <f>METADATA_SOURCES!$A$2</f>
        <v>SRC001</v>
      </c>
    </row>
    <row r="604" spans="1:9" x14ac:dyDescent="0.3">
      <c r="A604" s="1">
        <v>52</v>
      </c>
      <c r="B604" s="1" t="s">
        <v>59</v>
      </c>
      <c r="C604" s="1">
        <v>71</v>
      </c>
      <c r="D604" s="1" t="s">
        <v>66</v>
      </c>
      <c r="E604" s="8">
        <v>139</v>
      </c>
      <c r="F604" s="1" t="s">
        <v>81</v>
      </c>
      <c r="G604" s="1">
        <v>2020</v>
      </c>
      <c r="H604" s="1" t="str">
        <f>IF(tblFLOWOD[[#This Row],[nama_asal]]=tblFLOWOD[[#This Row],[nama_tujuan]],"keluar","isi")</f>
        <v>isi</v>
      </c>
      <c r="I604" s="1" t="str">
        <f>METADATA_SOURCES!$A$2</f>
        <v>SRC001</v>
      </c>
    </row>
    <row r="605" spans="1:9" x14ac:dyDescent="0.3">
      <c r="A605" s="1">
        <v>52</v>
      </c>
      <c r="B605" s="1" t="s">
        <v>59</v>
      </c>
      <c r="C605" s="1">
        <v>72</v>
      </c>
      <c r="D605" s="1" t="s">
        <v>67</v>
      </c>
      <c r="E605" s="8">
        <v>169</v>
      </c>
      <c r="F605" s="1" t="s">
        <v>81</v>
      </c>
      <c r="G605" s="1">
        <v>2020</v>
      </c>
      <c r="H605" s="1" t="str">
        <f>IF(tblFLOWOD[[#This Row],[nama_asal]]=tblFLOWOD[[#This Row],[nama_tujuan]],"keluar","isi")</f>
        <v>isi</v>
      </c>
      <c r="I605" s="1" t="str">
        <f>METADATA_SOURCES!$A$2</f>
        <v>SRC001</v>
      </c>
    </row>
    <row r="606" spans="1:9" x14ac:dyDescent="0.3">
      <c r="A606" s="1">
        <v>52</v>
      </c>
      <c r="B606" s="1" t="s">
        <v>59</v>
      </c>
      <c r="C606" s="1">
        <v>73</v>
      </c>
      <c r="D606" s="1" t="s">
        <v>68</v>
      </c>
      <c r="E606" s="8">
        <v>1188</v>
      </c>
      <c r="F606" s="1" t="s">
        <v>81</v>
      </c>
      <c r="G606" s="1">
        <v>2020</v>
      </c>
      <c r="H606" s="1" t="str">
        <f>IF(tblFLOWOD[[#This Row],[nama_asal]]=tblFLOWOD[[#This Row],[nama_tujuan]],"keluar","isi")</f>
        <v>isi</v>
      </c>
      <c r="I606" s="1" t="str">
        <f>METADATA_SOURCES!$A$2</f>
        <v>SRC001</v>
      </c>
    </row>
    <row r="607" spans="1:9" x14ac:dyDescent="0.3">
      <c r="A607" s="1">
        <v>52</v>
      </c>
      <c r="B607" s="1" t="s">
        <v>59</v>
      </c>
      <c r="C607" s="1">
        <v>74</v>
      </c>
      <c r="D607" s="1" t="s">
        <v>69</v>
      </c>
      <c r="E607" s="8">
        <v>333</v>
      </c>
      <c r="F607" s="1" t="s">
        <v>81</v>
      </c>
      <c r="G607" s="1">
        <v>2020</v>
      </c>
      <c r="H607" s="1" t="str">
        <f>IF(tblFLOWOD[[#This Row],[nama_asal]]=tblFLOWOD[[#This Row],[nama_tujuan]],"keluar","isi")</f>
        <v>isi</v>
      </c>
      <c r="I607" s="1" t="str">
        <f>METADATA_SOURCES!$A$2</f>
        <v>SRC001</v>
      </c>
    </row>
    <row r="608" spans="1:9" x14ac:dyDescent="0.3">
      <c r="A608" s="1">
        <v>52</v>
      </c>
      <c r="B608" s="1" t="s">
        <v>59</v>
      </c>
      <c r="C608" s="1">
        <v>75</v>
      </c>
      <c r="D608" s="1" t="s">
        <v>70</v>
      </c>
      <c r="E608" s="8">
        <v>118</v>
      </c>
      <c r="F608" s="1" t="s">
        <v>81</v>
      </c>
      <c r="G608" s="1">
        <v>2020</v>
      </c>
      <c r="H608" s="1" t="str">
        <f>IF(tblFLOWOD[[#This Row],[nama_asal]]=tblFLOWOD[[#This Row],[nama_tujuan]],"keluar","isi")</f>
        <v>isi</v>
      </c>
      <c r="I608" s="1" t="str">
        <f>METADATA_SOURCES!$A$2</f>
        <v>SRC001</v>
      </c>
    </row>
    <row r="609" spans="1:9" x14ac:dyDescent="0.3">
      <c r="A609" s="1">
        <v>52</v>
      </c>
      <c r="B609" s="1" t="s">
        <v>59</v>
      </c>
      <c r="C609" s="1">
        <v>76</v>
      </c>
      <c r="D609" s="1" t="s">
        <v>71</v>
      </c>
      <c r="E609" s="8">
        <v>158</v>
      </c>
      <c r="F609" s="1" t="s">
        <v>81</v>
      </c>
      <c r="G609" s="1">
        <v>2020</v>
      </c>
      <c r="H609" s="1" t="str">
        <f>IF(tblFLOWOD[[#This Row],[nama_asal]]=tblFLOWOD[[#This Row],[nama_tujuan]],"keluar","isi")</f>
        <v>isi</v>
      </c>
      <c r="I609" s="1" t="str">
        <f>METADATA_SOURCES!$A$2</f>
        <v>SRC001</v>
      </c>
    </row>
    <row r="610" spans="1:9" x14ac:dyDescent="0.3">
      <c r="A610" s="1">
        <v>52</v>
      </c>
      <c r="B610" s="1" t="s">
        <v>59</v>
      </c>
      <c r="C610" s="1">
        <v>81</v>
      </c>
      <c r="D610" s="1" t="s">
        <v>72</v>
      </c>
      <c r="E610" s="8">
        <v>45</v>
      </c>
      <c r="F610" s="1" t="s">
        <v>81</v>
      </c>
      <c r="G610" s="1">
        <v>2020</v>
      </c>
      <c r="H610" s="1" t="str">
        <f>IF(tblFLOWOD[[#This Row],[nama_asal]]=tblFLOWOD[[#This Row],[nama_tujuan]],"keluar","isi")</f>
        <v>isi</v>
      </c>
      <c r="I610" s="1" t="str">
        <f>METADATA_SOURCES!$A$2</f>
        <v>SRC001</v>
      </c>
    </row>
    <row r="611" spans="1:9" x14ac:dyDescent="0.3">
      <c r="A611" s="1">
        <v>52</v>
      </c>
      <c r="B611" s="1" t="s">
        <v>59</v>
      </c>
      <c r="C611" s="1">
        <v>82</v>
      </c>
      <c r="D611" s="1" t="s">
        <v>73</v>
      </c>
      <c r="E611" s="8">
        <v>73</v>
      </c>
      <c r="F611" s="1" t="s">
        <v>81</v>
      </c>
      <c r="G611" s="1">
        <v>2020</v>
      </c>
      <c r="H611" s="1" t="str">
        <f>IF(tblFLOWOD[[#This Row],[nama_asal]]=tblFLOWOD[[#This Row],[nama_tujuan]],"keluar","isi")</f>
        <v>isi</v>
      </c>
      <c r="I611" s="1" t="str">
        <f>METADATA_SOURCES!$A$2</f>
        <v>SRC001</v>
      </c>
    </row>
    <row r="612" spans="1:9" x14ac:dyDescent="0.3">
      <c r="A612" s="1">
        <v>52</v>
      </c>
      <c r="B612" s="1" t="s">
        <v>59</v>
      </c>
      <c r="C612" s="1">
        <v>91</v>
      </c>
      <c r="D612" s="1" t="s">
        <v>74</v>
      </c>
      <c r="E612" s="8">
        <v>164</v>
      </c>
      <c r="F612" s="1" t="s">
        <v>81</v>
      </c>
      <c r="G612" s="1">
        <v>2020</v>
      </c>
      <c r="H612" s="1" t="str">
        <f>IF(tblFLOWOD[[#This Row],[nama_asal]]=tblFLOWOD[[#This Row],[nama_tujuan]],"keluar","isi")</f>
        <v>isi</v>
      </c>
      <c r="I612" s="1" t="str">
        <f>METADATA_SOURCES!$A$2</f>
        <v>SRC001</v>
      </c>
    </row>
    <row r="613" spans="1:9" x14ac:dyDescent="0.3">
      <c r="A613" s="1">
        <v>52</v>
      </c>
      <c r="B613" s="1" t="s">
        <v>59</v>
      </c>
      <c r="C613" s="1">
        <v>94</v>
      </c>
      <c r="D613" s="1" t="s">
        <v>75</v>
      </c>
      <c r="E613" s="8">
        <v>604</v>
      </c>
      <c r="F613" s="1" t="s">
        <v>81</v>
      </c>
      <c r="G613" s="1">
        <v>2020</v>
      </c>
      <c r="H613" s="1" t="str">
        <f>IF(tblFLOWOD[[#This Row],[nama_asal]]=tblFLOWOD[[#This Row],[nama_tujuan]],"keluar","isi")</f>
        <v>isi</v>
      </c>
      <c r="I613" s="1" t="str">
        <f>METADATA_SOURCES!$A$2</f>
        <v>SRC001</v>
      </c>
    </row>
    <row r="614" spans="1:9" x14ac:dyDescent="0.3">
      <c r="A614" s="1">
        <v>53</v>
      </c>
      <c r="B614" s="1" t="s">
        <v>60</v>
      </c>
      <c r="C614" s="1">
        <v>11</v>
      </c>
      <c r="D614" s="1" t="s">
        <v>42</v>
      </c>
      <c r="E614" s="8">
        <v>0</v>
      </c>
      <c r="F614" s="1" t="s">
        <v>81</v>
      </c>
      <c r="G614" s="1">
        <v>2020</v>
      </c>
      <c r="H614" s="1" t="str">
        <f>IF(tblFLOWOD[[#This Row],[nama_asal]]=tblFLOWOD[[#This Row],[nama_tujuan]],"keluar","isi")</f>
        <v>isi</v>
      </c>
      <c r="I614" s="1" t="str">
        <f>METADATA_SOURCES!$A$2</f>
        <v>SRC001</v>
      </c>
    </row>
    <row r="615" spans="1:9" x14ac:dyDescent="0.3">
      <c r="A615" s="1">
        <v>53</v>
      </c>
      <c r="B615" s="1" t="s">
        <v>60</v>
      </c>
      <c r="C615" s="1">
        <v>12</v>
      </c>
      <c r="D615" s="1" t="s">
        <v>43</v>
      </c>
      <c r="E615" s="8">
        <v>244</v>
      </c>
      <c r="F615" s="1" t="s">
        <v>81</v>
      </c>
      <c r="G615" s="1">
        <v>2020</v>
      </c>
      <c r="H615" s="1" t="str">
        <f>IF(tblFLOWOD[[#This Row],[nama_asal]]=tblFLOWOD[[#This Row],[nama_tujuan]],"keluar","isi")</f>
        <v>isi</v>
      </c>
      <c r="I615" s="1" t="str">
        <f>METADATA_SOURCES!$A$2</f>
        <v>SRC001</v>
      </c>
    </row>
    <row r="616" spans="1:9" x14ac:dyDescent="0.3">
      <c r="A616" s="1">
        <v>53</v>
      </c>
      <c r="B616" s="1" t="s">
        <v>60</v>
      </c>
      <c r="C616" s="1">
        <v>13</v>
      </c>
      <c r="D616" s="1" t="s">
        <v>44</v>
      </c>
      <c r="E616" s="8">
        <v>376</v>
      </c>
      <c r="F616" s="1" t="s">
        <v>81</v>
      </c>
      <c r="G616" s="1">
        <v>2020</v>
      </c>
      <c r="H616" s="1" t="str">
        <f>IF(tblFLOWOD[[#This Row],[nama_asal]]=tblFLOWOD[[#This Row],[nama_tujuan]],"keluar","isi")</f>
        <v>isi</v>
      </c>
      <c r="I616" s="1" t="str">
        <f>METADATA_SOURCES!$A$2</f>
        <v>SRC001</v>
      </c>
    </row>
    <row r="617" spans="1:9" x14ac:dyDescent="0.3">
      <c r="A617" s="1">
        <v>53</v>
      </c>
      <c r="B617" s="1" t="s">
        <v>60</v>
      </c>
      <c r="C617" s="1">
        <v>14</v>
      </c>
      <c r="D617" s="1" t="s">
        <v>45</v>
      </c>
      <c r="E617" s="8">
        <v>327</v>
      </c>
      <c r="F617" s="1" t="s">
        <v>81</v>
      </c>
      <c r="G617" s="1">
        <v>2020</v>
      </c>
      <c r="H617" s="1" t="str">
        <f>IF(tblFLOWOD[[#This Row],[nama_asal]]=tblFLOWOD[[#This Row],[nama_tujuan]],"keluar","isi")</f>
        <v>isi</v>
      </c>
      <c r="I617" s="1" t="str">
        <f>METADATA_SOURCES!$A$2</f>
        <v>SRC001</v>
      </c>
    </row>
    <row r="618" spans="1:9" x14ac:dyDescent="0.3">
      <c r="A618" s="1">
        <v>53</v>
      </c>
      <c r="B618" s="1" t="s">
        <v>60</v>
      </c>
      <c r="C618" s="1">
        <v>15</v>
      </c>
      <c r="D618" s="1" t="s">
        <v>46</v>
      </c>
      <c r="E618" s="8">
        <v>85</v>
      </c>
      <c r="F618" s="1" t="s">
        <v>81</v>
      </c>
      <c r="G618" s="1">
        <v>2020</v>
      </c>
      <c r="H618" s="1" t="str">
        <f>IF(tblFLOWOD[[#This Row],[nama_asal]]=tblFLOWOD[[#This Row],[nama_tujuan]],"keluar","isi")</f>
        <v>isi</v>
      </c>
      <c r="I618" s="1" t="str">
        <f>METADATA_SOURCES!$A$2</f>
        <v>SRC001</v>
      </c>
    </row>
    <row r="619" spans="1:9" x14ac:dyDescent="0.3">
      <c r="A619" s="1">
        <v>53</v>
      </c>
      <c r="B619" s="1" t="s">
        <v>60</v>
      </c>
      <c r="C619" s="1">
        <v>16</v>
      </c>
      <c r="D619" s="1" t="s">
        <v>47</v>
      </c>
      <c r="E619" s="8">
        <v>38</v>
      </c>
      <c r="F619" s="1" t="s">
        <v>81</v>
      </c>
      <c r="G619" s="1">
        <v>2020</v>
      </c>
      <c r="H619" s="1" t="str">
        <f>IF(tblFLOWOD[[#This Row],[nama_asal]]=tblFLOWOD[[#This Row],[nama_tujuan]],"keluar","isi")</f>
        <v>isi</v>
      </c>
      <c r="I619" s="1" t="str">
        <f>METADATA_SOURCES!$A$2</f>
        <v>SRC001</v>
      </c>
    </row>
    <row r="620" spans="1:9" x14ac:dyDescent="0.3">
      <c r="A620" s="1">
        <v>53</v>
      </c>
      <c r="B620" s="1" t="s">
        <v>60</v>
      </c>
      <c r="C620" s="1">
        <v>17</v>
      </c>
      <c r="D620" s="1" t="s">
        <v>48</v>
      </c>
      <c r="E620" s="8">
        <v>12</v>
      </c>
      <c r="F620" s="1" t="s">
        <v>81</v>
      </c>
      <c r="G620" s="1">
        <v>2020</v>
      </c>
      <c r="H620" s="1" t="str">
        <f>IF(tblFLOWOD[[#This Row],[nama_asal]]=tblFLOWOD[[#This Row],[nama_tujuan]],"keluar","isi")</f>
        <v>isi</v>
      </c>
      <c r="I620" s="1" t="str">
        <f>METADATA_SOURCES!$A$2</f>
        <v>SRC001</v>
      </c>
    </row>
    <row r="621" spans="1:9" x14ac:dyDescent="0.3">
      <c r="A621" s="1">
        <v>53</v>
      </c>
      <c r="B621" s="1" t="s">
        <v>60</v>
      </c>
      <c r="C621" s="1">
        <v>18</v>
      </c>
      <c r="D621" s="1" t="s">
        <v>49</v>
      </c>
      <c r="E621" s="8">
        <v>74</v>
      </c>
      <c r="F621" s="1" t="s">
        <v>81</v>
      </c>
      <c r="G621" s="1">
        <v>2020</v>
      </c>
      <c r="H621" s="1" t="str">
        <f>IF(tblFLOWOD[[#This Row],[nama_asal]]=tblFLOWOD[[#This Row],[nama_tujuan]],"keluar","isi")</f>
        <v>isi</v>
      </c>
      <c r="I621" s="1" t="str">
        <f>METADATA_SOURCES!$A$2</f>
        <v>SRC001</v>
      </c>
    </row>
    <row r="622" spans="1:9" x14ac:dyDescent="0.3">
      <c r="A622" s="1">
        <v>53</v>
      </c>
      <c r="B622" s="1" t="s">
        <v>60</v>
      </c>
      <c r="C622" s="1">
        <v>19</v>
      </c>
      <c r="D622" s="1" t="s">
        <v>50</v>
      </c>
      <c r="E622" s="8">
        <v>113</v>
      </c>
      <c r="F622" s="1" t="s">
        <v>81</v>
      </c>
      <c r="G622" s="1">
        <v>2020</v>
      </c>
      <c r="H622" s="1" t="str">
        <f>IF(tblFLOWOD[[#This Row],[nama_asal]]=tblFLOWOD[[#This Row],[nama_tujuan]],"keluar","isi")</f>
        <v>isi</v>
      </c>
      <c r="I622" s="1" t="str">
        <f>METADATA_SOURCES!$A$2</f>
        <v>SRC001</v>
      </c>
    </row>
    <row r="623" spans="1:9" x14ac:dyDescent="0.3">
      <c r="A623" s="1">
        <v>53</v>
      </c>
      <c r="B623" s="1" t="s">
        <v>60</v>
      </c>
      <c r="C623" s="1">
        <v>21</v>
      </c>
      <c r="D623" s="1" t="s">
        <v>51</v>
      </c>
      <c r="E623" s="8">
        <v>1902</v>
      </c>
      <c r="F623" s="1" t="s">
        <v>81</v>
      </c>
      <c r="G623" s="1">
        <v>2020</v>
      </c>
      <c r="H623" s="1" t="str">
        <f>IF(tblFLOWOD[[#This Row],[nama_asal]]=tblFLOWOD[[#This Row],[nama_tujuan]],"keluar","isi")</f>
        <v>isi</v>
      </c>
      <c r="I623" s="1" t="str">
        <f>METADATA_SOURCES!$A$2</f>
        <v>SRC001</v>
      </c>
    </row>
    <row r="624" spans="1:9" x14ac:dyDescent="0.3">
      <c r="A624" s="1">
        <v>53</v>
      </c>
      <c r="B624" s="1" t="s">
        <v>60</v>
      </c>
      <c r="C624" s="1">
        <v>31</v>
      </c>
      <c r="D624" s="1" t="s">
        <v>52</v>
      </c>
      <c r="E624" s="8">
        <v>1505</v>
      </c>
      <c r="F624" s="1" t="s">
        <v>81</v>
      </c>
      <c r="G624" s="1">
        <v>2020</v>
      </c>
      <c r="H624" s="1" t="str">
        <f>IF(tblFLOWOD[[#This Row],[nama_asal]]=tblFLOWOD[[#This Row],[nama_tujuan]],"keluar","isi")</f>
        <v>isi</v>
      </c>
      <c r="I624" s="1" t="str">
        <f>METADATA_SOURCES!$A$2</f>
        <v>SRC001</v>
      </c>
    </row>
    <row r="625" spans="1:9" x14ac:dyDescent="0.3">
      <c r="A625" s="1">
        <v>53</v>
      </c>
      <c r="B625" s="1" t="s">
        <v>60</v>
      </c>
      <c r="C625" s="1">
        <v>32</v>
      </c>
      <c r="D625" s="1" t="s">
        <v>53</v>
      </c>
      <c r="E625" s="8">
        <v>787</v>
      </c>
      <c r="F625" s="1" t="s">
        <v>81</v>
      </c>
      <c r="G625" s="1">
        <v>2020</v>
      </c>
      <c r="H625" s="1" t="str">
        <f>IF(tblFLOWOD[[#This Row],[nama_asal]]=tblFLOWOD[[#This Row],[nama_tujuan]],"keluar","isi")</f>
        <v>isi</v>
      </c>
      <c r="I625" s="1" t="str">
        <f>METADATA_SOURCES!$A$2</f>
        <v>SRC001</v>
      </c>
    </row>
    <row r="626" spans="1:9" x14ac:dyDescent="0.3">
      <c r="A626" s="1">
        <v>53</v>
      </c>
      <c r="B626" s="1" t="s">
        <v>60</v>
      </c>
      <c r="C626" s="1">
        <v>33</v>
      </c>
      <c r="D626" s="1" t="s">
        <v>54</v>
      </c>
      <c r="E626" s="8">
        <v>3353</v>
      </c>
      <c r="F626" s="1" t="s">
        <v>81</v>
      </c>
      <c r="G626" s="1">
        <v>2020</v>
      </c>
      <c r="H626" s="1" t="str">
        <f>IF(tblFLOWOD[[#This Row],[nama_asal]]=tblFLOWOD[[#This Row],[nama_tujuan]],"keluar","isi")</f>
        <v>isi</v>
      </c>
      <c r="I626" s="1" t="str">
        <f>METADATA_SOURCES!$A$2</f>
        <v>SRC001</v>
      </c>
    </row>
    <row r="627" spans="1:9" x14ac:dyDescent="0.3">
      <c r="A627" s="1">
        <v>53</v>
      </c>
      <c r="B627" s="1" t="s">
        <v>60</v>
      </c>
      <c r="C627" s="1">
        <v>34</v>
      </c>
      <c r="D627" s="1" t="s">
        <v>55</v>
      </c>
      <c r="E627" s="8">
        <v>2625</v>
      </c>
      <c r="F627" s="1" t="s">
        <v>81</v>
      </c>
      <c r="G627" s="1">
        <v>2020</v>
      </c>
      <c r="H627" s="1" t="str">
        <f>IF(tblFLOWOD[[#This Row],[nama_asal]]=tblFLOWOD[[#This Row],[nama_tujuan]],"keluar","isi")</f>
        <v>isi</v>
      </c>
      <c r="I627" s="1" t="str">
        <f>METADATA_SOURCES!$A$2</f>
        <v>SRC001</v>
      </c>
    </row>
    <row r="628" spans="1:9" x14ac:dyDescent="0.3">
      <c r="A628" s="1">
        <v>53</v>
      </c>
      <c r="B628" s="1" t="s">
        <v>60</v>
      </c>
      <c r="C628" s="1">
        <v>35</v>
      </c>
      <c r="D628" s="1" t="s">
        <v>56</v>
      </c>
      <c r="E628" s="8">
        <v>6175</v>
      </c>
      <c r="F628" s="1" t="s">
        <v>81</v>
      </c>
      <c r="G628" s="1">
        <v>2020</v>
      </c>
      <c r="H628" s="1" t="str">
        <f>IF(tblFLOWOD[[#This Row],[nama_asal]]=tblFLOWOD[[#This Row],[nama_tujuan]],"keluar","isi")</f>
        <v>isi</v>
      </c>
      <c r="I628" s="1" t="str">
        <f>METADATA_SOURCES!$A$2</f>
        <v>SRC001</v>
      </c>
    </row>
    <row r="629" spans="1:9" x14ac:dyDescent="0.3">
      <c r="A629" s="1">
        <v>53</v>
      </c>
      <c r="B629" s="1" t="s">
        <v>60</v>
      </c>
      <c r="C629" s="1">
        <v>36</v>
      </c>
      <c r="D629" s="1" t="s">
        <v>57</v>
      </c>
      <c r="E629" s="8">
        <v>333</v>
      </c>
      <c r="F629" s="1" t="s">
        <v>81</v>
      </c>
      <c r="G629" s="1">
        <v>2020</v>
      </c>
      <c r="H629" s="1" t="str">
        <f>IF(tblFLOWOD[[#This Row],[nama_asal]]=tblFLOWOD[[#This Row],[nama_tujuan]],"keluar","isi")</f>
        <v>isi</v>
      </c>
      <c r="I629" s="1" t="str">
        <f>METADATA_SOURCES!$A$2</f>
        <v>SRC001</v>
      </c>
    </row>
    <row r="630" spans="1:9" x14ac:dyDescent="0.3">
      <c r="A630" s="1">
        <v>53</v>
      </c>
      <c r="B630" s="1" t="s">
        <v>60</v>
      </c>
      <c r="C630" s="1">
        <v>51</v>
      </c>
      <c r="D630" s="1" t="s">
        <v>58</v>
      </c>
      <c r="E630" s="8">
        <v>6336</v>
      </c>
      <c r="F630" s="1" t="s">
        <v>81</v>
      </c>
      <c r="G630" s="1">
        <v>2020</v>
      </c>
      <c r="H630" s="1" t="str">
        <f>IF(tblFLOWOD[[#This Row],[nama_asal]]=tblFLOWOD[[#This Row],[nama_tujuan]],"keluar","isi")</f>
        <v>isi</v>
      </c>
      <c r="I630" s="1" t="str">
        <f>METADATA_SOURCES!$A$2</f>
        <v>SRC001</v>
      </c>
    </row>
    <row r="631" spans="1:9" x14ac:dyDescent="0.3">
      <c r="A631" s="1">
        <v>53</v>
      </c>
      <c r="B631" s="1" t="s">
        <v>60</v>
      </c>
      <c r="C631" s="1">
        <v>52</v>
      </c>
      <c r="D631" s="1" t="s">
        <v>59</v>
      </c>
      <c r="E631" s="8">
        <v>3487</v>
      </c>
      <c r="F631" s="1" t="s">
        <v>81</v>
      </c>
      <c r="G631" s="1">
        <v>2020</v>
      </c>
      <c r="H631" s="1" t="str">
        <f>IF(tblFLOWOD[[#This Row],[nama_asal]]=tblFLOWOD[[#This Row],[nama_tujuan]],"keluar","isi")</f>
        <v>isi</v>
      </c>
      <c r="I631" s="1" t="str">
        <f>METADATA_SOURCES!$A$2</f>
        <v>SRC001</v>
      </c>
    </row>
    <row r="632" spans="1:9" x14ac:dyDescent="0.3">
      <c r="A632" s="1">
        <v>53</v>
      </c>
      <c r="B632" s="1" t="s">
        <v>60</v>
      </c>
      <c r="C632" s="1">
        <v>53</v>
      </c>
      <c r="D632" s="1" t="s">
        <v>60</v>
      </c>
      <c r="E632" s="8">
        <v>4797386</v>
      </c>
      <c r="F632" s="1" t="s">
        <v>81</v>
      </c>
      <c r="G632" s="1">
        <v>2020</v>
      </c>
      <c r="H632" s="1" t="str">
        <f>IF(tblFLOWOD[[#This Row],[nama_asal]]=tblFLOWOD[[#This Row],[nama_tujuan]],"keluar","isi")</f>
        <v>keluar</v>
      </c>
      <c r="I632" s="1" t="str">
        <f>METADATA_SOURCES!$A$2</f>
        <v>SRC001</v>
      </c>
    </row>
    <row r="633" spans="1:9" x14ac:dyDescent="0.3">
      <c r="A633" s="1">
        <v>53</v>
      </c>
      <c r="B633" s="1" t="s">
        <v>60</v>
      </c>
      <c r="C633" s="1">
        <v>61</v>
      </c>
      <c r="D633" s="1" t="s">
        <v>61</v>
      </c>
      <c r="E633" s="8">
        <v>1063</v>
      </c>
      <c r="F633" s="1" t="s">
        <v>81</v>
      </c>
      <c r="G633" s="1">
        <v>2020</v>
      </c>
      <c r="H633" s="1" t="str">
        <f>IF(tblFLOWOD[[#This Row],[nama_asal]]=tblFLOWOD[[#This Row],[nama_tujuan]],"keluar","isi")</f>
        <v>isi</v>
      </c>
      <c r="I633" s="1" t="str">
        <f>METADATA_SOURCES!$A$2</f>
        <v>SRC001</v>
      </c>
    </row>
    <row r="634" spans="1:9" x14ac:dyDescent="0.3">
      <c r="A634" s="1">
        <v>53</v>
      </c>
      <c r="B634" s="1" t="s">
        <v>60</v>
      </c>
      <c r="C634" s="1">
        <v>62</v>
      </c>
      <c r="D634" s="1" t="s">
        <v>62</v>
      </c>
      <c r="E634" s="8">
        <v>7578</v>
      </c>
      <c r="F634" s="1" t="s">
        <v>81</v>
      </c>
      <c r="G634" s="1">
        <v>2020</v>
      </c>
      <c r="H634" s="1" t="str">
        <f>IF(tblFLOWOD[[#This Row],[nama_asal]]=tblFLOWOD[[#This Row],[nama_tujuan]],"keluar","isi")</f>
        <v>isi</v>
      </c>
      <c r="I634" s="1" t="str">
        <f>METADATA_SOURCES!$A$2</f>
        <v>SRC001</v>
      </c>
    </row>
    <row r="635" spans="1:9" x14ac:dyDescent="0.3">
      <c r="A635" s="1">
        <v>53</v>
      </c>
      <c r="B635" s="1" t="s">
        <v>60</v>
      </c>
      <c r="C635" s="1">
        <v>63</v>
      </c>
      <c r="D635" s="1" t="s">
        <v>63</v>
      </c>
      <c r="E635" s="8">
        <v>1699</v>
      </c>
      <c r="F635" s="1" t="s">
        <v>81</v>
      </c>
      <c r="G635" s="1">
        <v>2020</v>
      </c>
      <c r="H635" s="1" t="str">
        <f>IF(tblFLOWOD[[#This Row],[nama_asal]]=tblFLOWOD[[#This Row],[nama_tujuan]],"keluar","isi")</f>
        <v>isi</v>
      </c>
      <c r="I635" s="1" t="str">
        <f>METADATA_SOURCES!$A$2</f>
        <v>SRC001</v>
      </c>
    </row>
    <row r="636" spans="1:9" x14ac:dyDescent="0.3">
      <c r="A636" s="1">
        <v>53</v>
      </c>
      <c r="B636" s="1" t="s">
        <v>60</v>
      </c>
      <c r="C636" s="1">
        <v>64</v>
      </c>
      <c r="D636" s="1" t="s">
        <v>64</v>
      </c>
      <c r="E636" s="8">
        <v>5972</v>
      </c>
      <c r="F636" s="1" t="s">
        <v>81</v>
      </c>
      <c r="G636" s="1">
        <v>2020</v>
      </c>
      <c r="H636" s="1" t="str">
        <f>IF(tblFLOWOD[[#This Row],[nama_asal]]=tblFLOWOD[[#This Row],[nama_tujuan]],"keluar","isi")</f>
        <v>isi</v>
      </c>
      <c r="I636" s="1" t="str">
        <f>METADATA_SOURCES!$A$2</f>
        <v>SRC001</v>
      </c>
    </row>
    <row r="637" spans="1:9" x14ac:dyDescent="0.3">
      <c r="A637" s="1">
        <v>53</v>
      </c>
      <c r="B637" s="1" t="s">
        <v>60</v>
      </c>
      <c r="C637" s="1">
        <v>65</v>
      </c>
      <c r="D637" s="1" t="s">
        <v>65</v>
      </c>
      <c r="E637" s="8">
        <v>1272</v>
      </c>
      <c r="F637" s="1" t="s">
        <v>81</v>
      </c>
      <c r="G637" s="1">
        <v>2020</v>
      </c>
      <c r="H637" s="1" t="str">
        <f>IF(tblFLOWOD[[#This Row],[nama_asal]]=tblFLOWOD[[#This Row],[nama_tujuan]],"keluar","isi")</f>
        <v>isi</v>
      </c>
      <c r="I637" s="1" t="str">
        <f>METADATA_SOURCES!$A$2</f>
        <v>SRC001</v>
      </c>
    </row>
    <row r="638" spans="1:9" x14ac:dyDescent="0.3">
      <c r="A638" s="1">
        <v>53</v>
      </c>
      <c r="B638" s="1" t="s">
        <v>60</v>
      </c>
      <c r="C638" s="1">
        <v>71</v>
      </c>
      <c r="D638" s="1" t="s">
        <v>66</v>
      </c>
      <c r="E638" s="8">
        <v>303</v>
      </c>
      <c r="F638" s="1" t="s">
        <v>81</v>
      </c>
      <c r="G638" s="1">
        <v>2020</v>
      </c>
      <c r="H638" s="1" t="str">
        <f>IF(tblFLOWOD[[#This Row],[nama_asal]]=tblFLOWOD[[#This Row],[nama_tujuan]],"keluar","isi")</f>
        <v>isi</v>
      </c>
      <c r="I638" s="1" t="str">
        <f>METADATA_SOURCES!$A$2</f>
        <v>SRC001</v>
      </c>
    </row>
    <row r="639" spans="1:9" x14ac:dyDescent="0.3">
      <c r="A639" s="1">
        <v>53</v>
      </c>
      <c r="B639" s="1" t="s">
        <v>60</v>
      </c>
      <c r="C639" s="1">
        <v>72</v>
      </c>
      <c r="D639" s="1" t="s">
        <v>67</v>
      </c>
      <c r="E639" s="8">
        <v>319</v>
      </c>
      <c r="F639" s="1" t="s">
        <v>81</v>
      </c>
      <c r="G639" s="1">
        <v>2020</v>
      </c>
      <c r="H639" s="1" t="str">
        <f>IF(tblFLOWOD[[#This Row],[nama_asal]]=tblFLOWOD[[#This Row],[nama_tujuan]],"keluar","isi")</f>
        <v>isi</v>
      </c>
      <c r="I639" s="1" t="str">
        <f>METADATA_SOURCES!$A$2</f>
        <v>SRC001</v>
      </c>
    </row>
    <row r="640" spans="1:9" x14ac:dyDescent="0.3">
      <c r="A640" s="1">
        <v>53</v>
      </c>
      <c r="B640" s="1" t="s">
        <v>60</v>
      </c>
      <c r="C640" s="1">
        <v>73</v>
      </c>
      <c r="D640" s="1" t="s">
        <v>68</v>
      </c>
      <c r="E640" s="8">
        <v>3535</v>
      </c>
      <c r="F640" s="1" t="s">
        <v>81</v>
      </c>
      <c r="G640" s="1">
        <v>2020</v>
      </c>
      <c r="H640" s="1" t="str">
        <f>IF(tblFLOWOD[[#This Row],[nama_asal]]=tblFLOWOD[[#This Row],[nama_tujuan]],"keluar","isi")</f>
        <v>isi</v>
      </c>
      <c r="I640" s="1" t="str">
        <f>METADATA_SOURCES!$A$2</f>
        <v>SRC001</v>
      </c>
    </row>
    <row r="641" spans="1:9" x14ac:dyDescent="0.3">
      <c r="A641" s="1">
        <v>53</v>
      </c>
      <c r="B641" s="1" t="s">
        <v>60</v>
      </c>
      <c r="C641" s="1">
        <v>74</v>
      </c>
      <c r="D641" s="1" t="s">
        <v>69</v>
      </c>
      <c r="E641" s="8">
        <v>447</v>
      </c>
      <c r="F641" s="1" t="s">
        <v>81</v>
      </c>
      <c r="G641" s="1">
        <v>2020</v>
      </c>
      <c r="H641" s="1" t="str">
        <f>IF(tblFLOWOD[[#This Row],[nama_asal]]=tblFLOWOD[[#This Row],[nama_tujuan]],"keluar","isi")</f>
        <v>isi</v>
      </c>
      <c r="I641" s="1" t="str">
        <f>METADATA_SOURCES!$A$2</f>
        <v>SRC001</v>
      </c>
    </row>
    <row r="642" spans="1:9" x14ac:dyDescent="0.3">
      <c r="A642" s="1">
        <v>53</v>
      </c>
      <c r="B642" s="1" t="s">
        <v>60</v>
      </c>
      <c r="C642" s="1">
        <v>75</v>
      </c>
      <c r="D642" s="1" t="s">
        <v>70</v>
      </c>
      <c r="E642" s="8">
        <v>103</v>
      </c>
      <c r="F642" s="1" t="s">
        <v>81</v>
      </c>
      <c r="G642" s="1">
        <v>2020</v>
      </c>
      <c r="H642" s="1" t="str">
        <f>IF(tblFLOWOD[[#This Row],[nama_asal]]=tblFLOWOD[[#This Row],[nama_tujuan]],"keluar","isi")</f>
        <v>isi</v>
      </c>
      <c r="I642" s="1" t="str">
        <f>METADATA_SOURCES!$A$2</f>
        <v>SRC001</v>
      </c>
    </row>
    <row r="643" spans="1:9" x14ac:dyDescent="0.3">
      <c r="A643" s="1">
        <v>53</v>
      </c>
      <c r="B643" s="1" t="s">
        <v>60</v>
      </c>
      <c r="C643" s="1">
        <v>76</v>
      </c>
      <c r="D643" s="1" t="s">
        <v>71</v>
      </c>
      <c r="E643" s="8">
        <v>318</v>
      </c>
      <c r="F643" s="1" t="s">
        <v>81</v>
      </c>
      <c r="G643" s="1">
        <v>2020</v>
      </c>
      <c r="H643" s="1" t="str">
        <f>IF(tblFLOWOD[[#This Row],[nama_asal]]=tblFLOWOD[[#This Row],[nama_tujuan]],"keluar","isi")</f>
        <v>isi</v>
      </c>
      <c r="I643" s="1" t="str">
        <f>METADATA_SOURCES!$A$2</f>
        <v>SRC001</v>
      </c>
    </row>
    <row r="644" spans="1:9" x14ac:dyDescent="0.3">
      <c r="A644" s="1">
        <v>53</v>
      </c>
      <c r="B644" s="1" t="s">
        <v>60</v>
      </c>
      <c r="C644" s="1">
        <v>81</v>
      </c>
      <c r="D644" s="1" t="s">
        <v>72</v>
      </c>
      <c r="E644" s="8">
        <v>733</v>
      </c>
      <c r="F644" s="1" t="s">
        <v>81</v>
      </c>
      <c r="G644" s="1">
        <v>2020</v>
      </c>
      <c r="H644" s="1" t="str">
        <f>IF(tblFLOWOD[[#This Row],[nama_asal]]=tblFLOWOD[[#This Row],[nama_tujuan]],"keluar","isi")</f>
        <v>isi</v>
      </c>
      <c r="I644" s="1" t="str">
        <f>METADATA_SOURCES!$A$2</f>
        <v>SRC001</v>
      </c>
    </row>
    <row r="645" spans="1:9" x14ac:dyDescent="0.3">
      <c r="A645" s="1">
        <v>53</v>
      </c>
      <c r="B645" s="1" t="s">
        <v>60</v>
      </c>
      <c r="C645" s="1">
        <v>82</v>
      </c>
      <c r="D645" s="1" t="s">
        <v>73</v>
      </c>
      <c r="E645" s="8">
        <v>73</v>
      </c>
      <c r="F645" s="1" t="s">
        <v>81</v>
      </c>
      <c r="G645" s="1">
        <v>2020</v>
      </c>
      <c r="H645" s="1" t="str">
        <f>IF(tblFLOWOD[[#This Row],[nama_asal]]=tblFLOWOD[[#This Row],[nama_tujuan]],"keluar","isi")</f>
        <v>isi</v>
      </c>
      <c r="I645" s="1" t="str">
        <f>METADATA_SOURCES!$A$2</f>
        <v>SRC001</v>
      </c>
    </row>
    <row r="646" spans="1:9" x14ac:dyDescent="0.3">
      <c r="A646" s="1">
        <v>53</v>
      </c>
      <c r="B646" s="1" t="s">
        <v>60</v>
      </c>
      <c r="C646" s="1">
        <v>91</v>
      </c>
      <c r="D646" s="1" t="s">
        <v>74</v>
      </c>
      <c r="E646" s="8">
        <v>2030</v>
      </c>
      <c r="F646" s="1" t="s">
        <v>81</v>
      </c>
      <c r="G646" s="1">
        <v>2020</v>
      </c>
      <c r="H646" s="1" t="str">
        <f>IF(tblFLOWOD[[#This Row],[nama_asal]]=tblFLOWOD[[#This Row],[nama_tujuan]],"keluar","isi")</f>
        <v>isi</v>
      </c>
      <c r="I646" s="1" t="str">
        <f>METADATA_SOURCES!$A$2</f>
        <v>SRC001</v>
      </c>
    </row>
    <row r="647" spans="1:9" x14ac:dyDescent="0.3">
      <c r="A647" s="1">
        <v>53</v>
      </c>
      <c r="B647" s="1" t="s">
        <v>60</v>
      </c>
      <c r="C647" s="1">
        <v>94</v>
      </c>
      <c r="D647" s="1" t="s">
        <v>75</v>
      </c>
      <c r="E647" s="8">
        <v>3950</v>
      </c>
      <c r="F647" s="1" t="s">
        <v>81</v>
      </c>
      <c r="G647" s="1">
        <v>2020</v>
      </c>
      <c r="H647" s="1" t="str">
        <f>IF(tblFLOWOD[[#This Row],[nama_asal]]=tblFLOWOD[[#This Row],[nama_tujuan]],"keluar","isi")</f>
        <v>isi</v>
      </c>
      <c r="I647" s="1" t="str">
        <f>METADATA_SOURCES!$A$2</f>
        <v>SRC001</v>
      </c>
    </row>
    <row r="648" spans="1:9" x14ac:dyDescent="0.3">
      <c r="A648" s="1">
        <v>61</v>
      </c>
      <c r="B648" s="1" t="s">
        <v>61</v>
      </c>
      <c r="C648" s="1">
        <v>11</v>
      </c>
      <c r="D648" s="1" t="s">
        <v>42</v>
      </c>
      <c r="E648" s="8">
        <v>100</v>
      </c>
      <c r="F648" s="1" t="s">
        <v>81</v>
      </c>
      <c r="G648" s="1">
        <v>2020</v>
      </c>
      <c r="H648" s="1" t="str">
        <f>IF(tblFLOWOD[[#This Row],[nama_asal]]=tblFLOWOD[[#This Row],[nama_tujuan]],"keluar","isi")</f>
        <v>isi</v>
      </c>
      <c r="I648" s="1" t="str">
        <f>METADATA_SOURCES!$A$2</f>
        <v>SRC001</v>
      </c>
    </row>
    <row r="649" spans="1:9" x14ac:dyDescent="0.3">
      <c r="A649" s="1">
        <v>61</v>
      </c>
      <c r="B649" s="1" t="s">
        <v>61</v>
      </c>
      <c r="C649" s="1">
        <v>12</v>
      </c>
      <c r="D649" s="1" t="s">
        <v>43</v>
      </c>
      <c r="E649" s="8">
        <v>1695</v>
      </c>
      <c r="F649" s="1" t="s">
        <v>81</v>
      </c>
      <c r="G649" s="1">
        <v>2020</v>
      </c>
      <c r="H649" s="1" t="str">
        <f>IF(tblFLOWOD[[#This Row],[nama_asal]]=tblFLOWOD[[#This Row],[nama_tujuan]],"keluar","isi")</f>
        <v>isi</v>
      </c>
      <c r="I649" s="1" t="str">
        <f>METADATA_SOURCES!$A$2</f>
        <v>SRC001</v>
      </c>
    </row>
    <row r="650" spans="1:9" x14ac:dyDescent="0.3">
      <c r="A650" s="1">
        <v>61</v>
      </c>
      <c r="B650" s="1" t="s">
        <v>61</v>
      </c>
      <c r="C650" s="1">
        <v>13</v>
      </c>
      <c r="D650" s="1" t="s">
        <v>44</v>
      </c>
      <c r="E650" s="8">
        <v>579</v>
      </c>
      <c r="F650" s="1" t="s">
        <v>81</v>
      </c>
      <c r="G650" s="1">
        <v>2020</v>
      </c>
      <c r="H650" s="1" t="str">
        <f>IF(tblFLOWOD[[#This Row],[nama_asal]]=tblFLOWOD[[#This Row],[nama_tujuan]],"keluar","isi")</f>
        <v>isi</v>
      </c>
      <c r="I650" s="1" t="str">
        <f>METADATA_SOURCES!$A$2</f>
        <v>SRC001</v>
      </c>
    </row>
    <row r="651" spans="1:9" x14ac:dyDescent="0.3">
      <c r="A651" s="1">
        <v>61</v>
      </c>
      <c r="B651" s="1" t="s">
        <v>61</v>
      </c>
      <c r="C651" s="1">
        <v>14</v>
      </c>
      <c r="D651" s="1" t="s">
        <v>45</v>
      </c>
      <c r="E651" s="8">
        <v>324</v>
      </c>
      <c r="F651" s="1" t="s">
        <v>81</v>
      </c>
      <c r="G651" s="1">
        <v>2020</v>
      </c>
      <c r="H651" s="1" t="str">
        <f>IF(tblFLOWOD[[#This Row],[nama_asal]]=tblFLOWOD[[#This Row],[nama_tujuan]],"keluar","isi")</f>
        <v>isi</v>
      </c>
      <c r="I651" s="1" t="str">
        <f>METADATA_SOURCES!$A$2</f>
        <v>SRC001</v>
      </c>
    </row>
    <row r="652" spans="1:9" x14ac:dyDescent="0.3">
      <c r="A652" s="1">
        <v>61</v>
      </c>
      <c r="B652" s="1" t="s">
        <v>61</v>
      </c>
      <c r="C652" s="1">
        <v>15</v>
      </c>
      <c r="D652" s="1" t="s">
        <v>46</v>
      </c>
      <c r="E652" s="8">
        <v>172</v>
      </c>
      <c r="F652" s="1" t="s">
        <v>81</v>
      </c>
      <c r="G652" s="1">
        <v>2020</v>
      </c>
      <c r="H652" s="1" t="str">
        <f>IF(tblFLOWOD[[#This Row],[nama_asal]]=tblFLOWOD[[#This Row],[nama_tujuan]],"keluar","isi")</f>
        <v>isi</v>
      </c>
      <c r="I652" s="1" t="str">
        <f>METADATA_SOURCES!$A$2</f>
        <v>SRC001</v>
      </c>
    </row>
    <row r="653" spans="1:9" x14ac:dyDescent="0.3">
      <c r="A653" s="1">
        <v>61</v>
      </c>
      <c r="B653" s="1" t="s">
        <v>61</v>
      </c>
      <c r="C653" s="1">
        <v>16</v>
      </c>
      <c r="D653" s="1" t="s">
        <v>47</v>
      </c>
      <c r="E653" s="8">
        <v>231</v>
      </c>
      <c r="F653" s="1" t="s">
        <v>81</v>
      </c>
      <c r="G653" s="1">
        <v>2020</v>
      </c>
      <c r="H653" s="1" t="str">
        <f>IF(tblFLOWOD[[#This Row],[nama_asal]]=tblFLOWOD[[#This Row],[nama_tujuan]],"keluar","isi")</f>
        <v>isi</v>
      </c>
      <c r="I653" s="1" t="str">
        <f>METADATA_SOURCES!$A$2</f>
        <v>SRC001</v>
      </c>
    </row>
    <row r="654" spans="1:9" x14ac:dyDescent="0.3">
      <c r="A654" s="1">
        <v>61</v>
      </c>
      <c r="B654" s="1" t="s">
        <v>61</v>
      </c>
      <c r="C654" s="1">
        <v>17</v>
      </c>
      <c r="D654" s="1" t="s">
        <v>48</v>
      </c>
      <c r="E654" s="8">
        <v>131</v>
      </c>
      <c r="F654" s="1" t="s">
        <v>81</v>
      </c>
      <c r="G654" s="1">
        <v>2020</v>
      </c>
      <c r="H654" s="1" t="str">
        <f>IF(tblFLOWOD[[#This Row],[nama_asal]]=tblFLOWOD[[#This Row],[nama_tujuan]],"keluar","isi")</f>
        <v>isi</v>
      </c>
      <c r="I654" s="1" t="str">
        <f>METADATA_SOURCES!$A$2</f>
        <v>SRC001</v>
      </c>
    </row>
    <row r="655" spans="1:9" x14ac:dyDescent="0.3">
      <c r="A655" s="1">
        <v>61</v>
      </c>
      <c r="B655" s="1" t="s">
        <v>61</v>
      </c>
      <c r="C655" s="1">
        <v>18</v>
      </c>
      <c r="D655" s="1" t="s">
        <v>49</v>
      </c>
      <c r="E655" s="8">
        <v>1139</v>
      </c>
      <c r="F655" s="1" t="s">
        <v>81</v>
      </c>
      <c r="G655" s="1">
        <v>2020</v>
      </c>
      <c r="H655" s="1" t="str">
        <f>IF(tblFLOWOD[[#This Row],[nama_asal]]=tblFLOWOD[[#This Row],[nama_tujuan]],"keluar","isi")</f>
        <v>isi</v>
      </c>
      <c r="I655" s="1" t="str">
        <f>METADATA_SOURCES!$A$2</f>
        <v>SRC001</v>
      </c>
    </row>
    <row r="656" spans="1:9" x14ac:dyDescent="0.3">
      <c r="A656" s="1">
        <v>61</v>
      </c>
      <c r="B656" s="1" t="s">
        <v>61</v>
      </c>
      <c r="C656" s="1">
        <v>19</v>
      </c>
      <c r="D656" s="1" t="s">
        <v>50</v>
      </c>
      <c r="E656" s="8">
        <v>210</v>
      </c>
      <c r="F656" s="1" t="s">
        <v>81</v>
      </c>
      <c r="G656" s="1">
        <v>2020</v>
      </c>
      <c r="H656" s="1" t="str">
        <f>IF(tblFLOWOD[[#This Row],[nama_asal]]=tblFLOWOD[[#This Row],[nama_tujuan]],"keluar","isi")</f>
        <v>isi</v>
      </c>
      <c r="I656" s="1" t="str">
        <f>METADATA_SOURCES!$A$2</f>
        <v>SRC001</v>
      </c>
    </row>
    <row r="657" spans="1:9" x14ac:dyDescent="0.3">
      <c r="A657" s="1">
        <v>61</v>
      </c>
      <c r="B657" s="1" t="s">
        <v>61</v>
      </c>
      <c r="C657" s="1">
        <v>21</v>
      </c>
      <c r="D657" s="1" t="s">
        <v>51</v>
      </c>
      <c r="E657" s="8">
        <v>1441</v>
      </c>
      <c r="F657" s="1" t="s">
        <v>81</v>
      </c>
      <c r="G657" s="1">
        <v>2020</v>
      </c>
      <c r="H657" s="1" t="str">
        <f>IF(tblFLOWOD[[#This Row],[nama_asal]]=tblFLOWOD[[#This Row],[nama_tujuan]],"keluar","isi")</f>
        <v>isi</v>
      </c>
      <c r="I657" s="1" t="str">
        <f>METADATA_SOURCES!$A$2</f>
        <v>SRC001</v>
      </c>
    </row>
    <row r="658" spans="1:9" x14ac:dyDescent="0.3">
      <c r="A658" s="1">
        <v>61</v>
      </c>
      <c r="B658" s="1" t="s">
        <v>61</v>
      </c>
      <c r="C658" s="1">
        <v>31</v>
      </c>
      <c r="D658" s="1" t="s">
        <v>52</v>
      </c>
      <c r="E658" s="8">
        <v>2270</v>
      </c>
      <c r="F658" s="1" t="s">
        <v>81</v>
      </c>
      <c r="G658" s="1">
        <v>2020</v>
      </c>
      <c r="H658" s="1" t="str">
        <f>IF(tblFLOWOD[[#This Row],[nama_asal]]=tblFLOWOD[[#This Row],[nama_tujuan]],"keluar","isi")</f>
        <v>isi</v>
      </c>
      <c r="I658" s="1" t="str">
        <f>METADATA_SOURCES!$A$2</f>
        <v>SRC001</v>
      </c>
    </row>
    <row r="659" spans="1:9" x14ac:dyDescent="0.3">
      <c r="A659" s="1">
        <v>61</v>
      </c>
      <c r="B659" s="1" t="s">
        <v>61</v>
      </c>
      <c r="C659" s="1">
        <v>32</v>
      </c>
      <c r="D659" s="1" t="s">
        <v>53</v>
      </c>
      <c r="E659" s="8">
        <v>4691</v>
      </c>
      <c r="F659" s="1" t="s">
        <v>81</v>
      </c>
      <c r="G659" s="1">
        <v>2020</v>
      </c>
      <c r="H659" s="1" t="str">
        <f>IF(tblFLOWOD[[#This Row],[nama_asal]]=tblFLOWOD[[#This Row],[nama_tujuan]],"keluar","isi")</f>
        <v>isi</v>
      </c>
      <c r="I659" s="1" t="str">
        <f>METADATA_SOURCES!$A$2</f>
        <v>SRC001</v>
      </c>
    </row>
    <row r="660" spans="1:9" x14ac:dyDescent="0.3">
      <c r="A660" s="1">
        <v>61</v>
      </c>
      <c r="B660" s="1" t="s">
        <v>61</v>
      </c>
      <c r="C660" s="1">
        <v>33</v>
      </c>
      <c r="D660" s="1" t="s">
        <v>54</v>
      </c>
      <c r="E660" s="8">
        <v>12226</v>
      </c>
      <c r="F660" s="1" t="s">
        <v>81</v>
      </c>
      <c r="G660" s="1">
        <v>2020</v>
      </c>
      <c r="H660" s="1" t="str">
        <f>IF(tblFLOWOD[[#This Row],[nama_asal]]=tblFLOWOD[[#This Row],[nama_tujuan]],"keluar","isi")</f>
        <v>isi</v>
      </c>
      <c r="I660" s="1" t="str">
        <f>METADATA_SOURCES!$A$2</f>
        <v>SRC001</v>
      </c>
    </row>
    <row r="661" spans="1:9" x14ac:dyDescent="0.3">
      <c r="A661" s="1">
        <v>61</v>
      </c>
      <c r="B661" s="1" t="s">
        <v>61</v>
      </c>
      <c r="C661" s="1">
        <v>34</v>
      </c>
      <c r="D661" s="1" t="s">
        <v>55</v>
      </c>
      <c r="E661" s="8">
        <v>2654</v>
      </c>
      <c r="F661" s="1" t="s">
        <v>81</v>
      </c>
      <c r="G661" s="1">
        <v>2020</v>
      </c>
      <c r="H661" s="1" t="str">
        <f>IF(tblFLOWOD[[#This Row],[nama_asal]]=tblFLOWOD[[#This Row],[nama_tujuan]],"keluar","isi")</f>
        <v>isi</v>
      </c>
      <c r="I661" s="1" t="str">
        <f>METADATA_SOURCES!$A$2</f>
        <v>SRC001</v>
      </c>
    </row>
    <row r="662" spans="1:9" x14ac:dyDescent="0.3">
      <c r="A662" s="1">
        <v>61</v>
      </c>
      <c r="B662" s="1" t="s">
        <v>61</v>
      </c>
      <c r="C662" s="1">
        <v>35</v>
      </c>
      <c r="D662" s="1" t="s">
        <v>56</v>
      </c>
      <c r="E662" s="8">
        <v>4667</v>
      </c>
      <c r="F662" s="1" t="s">
        <v>81</v>
      </c>
      <c r="G662" s="1">
        <v>2020</v>
      </c>
      <c r="H662" s="1" t="str">
        <f>IF(tblFLOWOD[[#This Row],[nama_asal]]=tblFLOWOD[[#This Row],[nama_tujuan]],"keluar","isi")</f>
        <v>isi</v>
      </c>
      <c r="I662" s="1" t="str">
        <f>METADATA_SOURCES!$A$2</f>
        <v>SRC001</v>
      </c>
    </row>
    <row r="663" spans="1:9" x14ac:dyDescent="0.3">
      <c r="A663" s="1">
        <v>61</v>
      </c>
      <c r="B663" s="1" t="s">
        <v>61</v>
      </c>
      <c r="C663" s="1">
        <v>36</v>
      </c>
      <c r="D663" s="1" t="s">
        <v>57</v>
      </c>
      <c r="E663" s="8">
        <v>1002</v>
      </c>
      <c r="F663" s="1" t="s">
        <v>81</v>
      </c>
      <c r="G663" s="1">
        <v>2020</v>
      </c>
      <c r="H663" s="1" t="str">
        <f>IF(tblFLOWOD[[#This Row],[nama_asal]]=tblFLOWOD[[#This Row],[nama_tujuan]],"keluar","isi")</f>
        <v>isi</v>
      </c>
      <c r="I663" s="1" t="str">
        <f>METADATA_SOURCES!$A$2</f>
        <v>SRC001</v>
      </c>
    </row>
    <row r="664" spans="1:9" x14ac:dyDescent="0.3">
      <c r="A664" s="1">
        <v>61</v>
      </c>
      <c r="B664" s="1" t="s">
        <v>61</v>
      </c>
      <c r="C664" s="1">
        <v>51</v>
      </c>
      <c r="D664" s="1" t="s">
        <v>58</v>
      </c>
      <c r="E664" s="8">
        <v>260</v>
      </c>
      <c r="F664" s="1" t="s">
        <v>81</v>
      </c>
      <c r="G664" s="1">
        <v>2020</v>
      </c>
      <c r="H664" s="1" t="str">
        <f>IF(tblFLOWOD[[#This Row],[nama_asal]]=tblFLOWOD[[#This Row],[nama_tujuan]],"keluar","isi")</f>
        <v>isi</v>
      </c>
      <c r="I664" s="1" t="str">
        <f>METADATA_SOURCES!$A$2</f>
        <v>SRC001</v>
      </c>
    </row>
    <row r="665" spans="1:9" x14ac:dyDescent="0.3">
      <c r="A665" s="1">
        <v>61</v>
      </c>
      <c r="B665" s="1" t="s">
        <v>61</v>
      </c>
      <c r="C665" s="1">
        <v>52</v>
      </c>
      <c r="D665" s="1" t="s">
        <v>59</v>
      </c>
      <c r="E665" s="8">
        <v>2700</v>
      </c>
      <c r="F665" s="1" t="s">
        <v>81</v>
      </c>
      <c r="G665" s="1">
        <v>2020</v>
      </c>
      <c r="H665" s="1" t="str">
        <f>IF(tblFLOWOD[[#This Row],[nama_asal]]=tblFLOWOD[[#This Row],[nama_tujuan]],"keluar","isi")</f>
        <v>isi</v>
      </c>
      <c r="I665" s="1" t="str">
        <f>METADATA_SOURCES!$A$2</f>
        <v>SRC001</v>
      </c>
    </row>
    <row r="666" spans="1:9" x14ac:dyDescent="0.3">
      <c r="A666" s="1">
        <v>61</v>
      </c>
      <c r="B666" s="1" t="s">
        <v>61</v>
      </c>
      <c r="C666" s="1">
        <v>53</v>
      </c>
      <c r="D666" s="1" t="s">
        <v>60</v>
      </c>
      <c r="E666" s="8">
        <v>1423</v>
      </c>
      <c r="F666" s="1" t="s">
        <v>81</v>
      </c>
      <c r="G666" s="1">
        <v>2020</v>
      </c>
      <c r="H666" s="1" t="str">
        <f>IF(tblFLOWOD[[#This Row],[nama_asal]]=tblFLOWOD[[#This Row],[nama_tujuan]],"keluar","isi")</f>
        <v>isi</v>
      </c>
      <c r="I666" s="1" t="str">
        <f>METADATA_SOURCES!$A$2</f>
        <v>SRC001</v>
      </c>
    </row>
    <row r="667" spans="1:9" x14ac:dyDescent="0.3">
      <c r="A667" s="1">
        <v>61</v>
      </c>
      <c r="B667" s="1" t="s">
        <v>61</v>
      </c>
      <c r="C667" s="1">
        <v>61</v>
      </c>
      <c r="D667" s="1" t="s">
        <v>61</v>
      </c>
      <c r="E667" s="8">
        <v>5008390</v>
      </c>
      <c r="F667" s="1" t="s">
        <v>81</v>
      </c>
      <c r="G667" s="1">
        <v>2020</v>
      </c>
      <c r="H667" s="1" t="str">
        <f>IF(tblFLOWOD[[#This Row],[nama_asal]]=tblFLOWOD[[#This Row],[nama_tujuan]],"keluar","isi")</f>
        <v>keluar</v>
      </c>
      <c r="I667" s="1" t="str">
        <f>METADATA_SOURCES!$A$2</f>
        <v>SRC001</v>
      </c>
    </row>
    <row r="668" spans="1:9" x14ac:dyDescent="0.3">
      <c r="A668" s="1">
        <v>61</v>
      </c>
      <c r="B668" s="1" t="s">
        <v>61</v>
      </c>
      <c r="C668" s="1">
        <v>62</v>
      </c>
      <c r="D668" s="1" t="s">
        <v>62</v>
      </c>
      <c r="E668" s="8">
        <v>2927</v>
      </c>
      <c r="F668" s="1" t="s">
        <v>81</v>
      </c>
      <c r="G668" s="1">
        <v>2020</v>
      </c>
      <c r="H668" s="1" t="str">
        <f>IF(tblFLOWOD[[#This Row],[nama_asal]]=tblFLOWOD[[#This Row],[nama_tujuan]],"keluar","isi")</f>
        <v>isi</v>
      </c>
      <c r="I668" s="1" t="str">
        <f>METADATA_SOURCES!$A$2</f>
        <v>SRC001</v>
      </c>
    </row>
    <row r="669" spans="1:9" x14ac:dyDescent="0.3">
      <c r="A669" s="1">
        <v>61</v>
      </c>
      <c r="B669" s="1" t="s">
        <v>61</v>
      </c>
      <c r="C669" s="1">
        <v>63</v>
      </c>
      <c r="D669" s="1" t="s">
        <v>63</v>
      </c>
      <c r="E669" s="8">
        <v>612</v>
      </c>
      <c r="F669" s="1" t="s">
        <v>81</v>
      </c>
      <c r="G669" s="1">
        <v>2020</v>
      </c>
      <c r="H669" s="1" t="str">
        <f>IF(tblFLOWOD[[#This Row],[nama_asal]]=tblFLOWOD[[#This Row],[nama_tujuan]],"keluar","isi")</f>
        <v>isi</v>
      </c>
      <c r="I669" s="1" t="str">
        <f>METADATA_SOURCES!$A$2</f>
        <v>SRC001</v>
      </c>
    </row>
    <row r="670" spans="1:9" x14ac:dyDescent="0.3">
      <c r="A670" s="1">
        <v>61</v>
      </c>
      <c r="B670" s="1" t="s">
        <v>61</v>
      </c>
      <c r="C670" s="1">
        <v>64</v>
      </c>
      <c r="D670" s="1" t="s">
        <v>64</v>
      </c>
      <c r="E670" s="8">
        <v>741</v>
      </c>
      <c r="F670" s="1" t="s">
        <v>81</v>
      </c>
      <c r="G670" s="1">
        <v>2020</v>
      </c>
      <c r="H670" s="1" t="str">
        <f>IF(tblFLOWOD[[#This Row],[nama_asal]]=tblFLOWOD[[#This Row],[nama_tujuan]],"keluar","isi")</f>
        <v>isi</v>
      </c>
      <c r="I670" s="1" t="str">
        <f>METADATA_SOURCES!$A$2</f>
        <v>SRC001</v>
      </c>
    </row>
    <row r="671" spans="1:9" x14ac:dyDescent="0.3">
      <c r="A671" s="1">
        <v>61</v>
      </c>
      <c r="B671" s="1" t="s">
        <v>61</v>
      </c>
      <c r="C671" s="1">
        <v>65</v>
      </c>
      <c r="D671" s="1" t="s">
        <v>65</v>
      </c>
      <c r="E671" s="8">
        <v>21</v>
      </c>
      <c r="F671" s="1" t="s">
        <v>81</v>
      </c>
      <c r="G671" s="1">
        <v>2020</v>
      </c>
      <c r="H671" s="1" t="str">
        <f>IF(tblFLOWOD[[#This Row],[nama_asal]]=tblFLOWOD[[#This Row],[nama_tujuan]],"keluar","isi")</f>
        <v>isi</v>
      </c>
      <c r="I671" s="1" t="str">
        <f>METADATA_SOURCES!$A$2</f>
        <v>SRC001</v>
      </c>
    </row>
    <row r="672" spans="1:9" x14ac:dyDescent="0.3">
      <c r="A672" s="1">
        <v>61</v>
      </c>
      <c r="B672" s="1" t="s">
        <v>61</v>
      </c>
      <c r="C672" s="1">
        <v>71</v>
      </c>
      <c r="D672" s="1" t="s">
        <v>66</v>
      </c>
      <c r="E672" s="8">
        <v>169</v>
      </c>
      <c r="F672" s="1" t="s">
        <v>81</v>
      </c>
      <c r="G672" s="1">
        <v>2020</v>
      </c>
      <c r="H672" s="1" t="str">
        <f>IF(tblFLOWOD[[#This Row],[nama_asal]]=tblFLOWOD[[#This Row],[nama_tujuan]],"keluar","isi")</f>
        <v>isi</v>
      </c>
      <c r="I672" s="1" t="str">
        <f>METADATA_SOURCES!$A$2</f>
        <v>SRC001</v>
      </c>
    </row>
    <row r="673" spans="1:9" x14ac:dyDescent="0.3">
      <c r="A673" s="1">
        <v>61</v>
      </c>
      <c r="B673" s="1" t="s">
        <v>61</v>
      </c>
      <c r="C673" s="1">
        <v>72</v>
      </c>
      <c r="D673" s="1" t="s">
        <v>67</v>
      </c>
      <c r="E673" s="8">
        <v>74</v>
      </c>
      <c r="F673" s="1" t="s">
        <v>81</v>
      </c>
      <c r="G673" s="1">
        <v>2020</v>
      </c>
      <c r="H673" s="1" t="str">
        <f>IF(tblFLOWOD[[#This Row],[nama_asal]]=tblFLOWOD[[#This Row],[nama_tujuan]],"keluar","isi")</f>
        <v>isi</v>
      </c>
      <c r="I673" s="1" t="str">
        <f>METADATA_SOURCES!$A$2</f>
        <v>SRC001</v>
      </c>
    </row>
    <row r="674" spans="1:9" x14ac:dyDescent="0.3">
      <c r="A674" s="1">
        <v>61</v>
      </c>
      <c r="B674" s="1" t="s">
        <v>61</v>
      </c>
      <c r="C674" s="1">
        <v>73</v>
      </c>
      <c r="D674" s="1" t="s">
        <v>68</v>
      </c>
      <c r="E674" s="8">
        <v>455</v>
      </c>
      <c r="F674" s="1" t="s">
        <v>81</v>
      </c>
      <c r="G674" s="1">
        <v>2020</v>
      </c>
      <c r="H674" s="1" t="str">
        <f>IF(tblFLOWOD[[#This Row],[nama_asal]]=tblFLOWOD[[#This Row],[nama_tujuan]],"keluar","isi")</f>
        <v>isi</v>
      </c>
      <c r="I674" s="1" t="str">
        <f>METADATA_SOURCES!$A$2</f>
        <v>SRC001</v>
      </c>
    </row>
    <row r="675" spans="1:9" x14ac:dyDescent="0.3">
      <c r="A675" s="1">
        <v>61</v>
      </c>
      <c r="B675" s="1" t="s">
        <v>61</v>
      </c>
      <c r="C675" s="1">
        <v>74</v>
      </c>
      <c r="D675" s="1" t="s">
        <v>69</v>
      </c>
      <c r="E675" s="8">
        <v>219</v>
      </c>
      <c r="F675" s="1" t="s">
        <v>81</v>
      </c>
      <c r="G675" s="1">
        <v>2020</v>
      </c>
      <c r="H675" s="1" t="str">
        <f>IF(tblFLOWOD[[#This Row],[nama_asal]]=tblFLOWOD[[#This Row],[nama_tujuan]],"keluar","isi")</f>
        <v>isi</v>
      </c>
      <c r="I675" s="1" t="str">
        <f>METADATA_SOURCES!$A$2</f>
        <v>SRC001</v>
      </c>
    </row>
    <row r="676" spans="1:9" x14ac:dyDescent="0.3">
      <c r="A676" s="1">
        <v>61</v>
      </c>
      <c r="B676" s="1" t="s">
        <v>61</v>
      </c>
      <c r="C676" s="1">
        <v>75</v>
      </c>
      <c r="D676" s="1" t="s">
        <v>70</v>
      </c>
      <c r="E676" s="8">
        <v>64</v>
      </c>
      <c r="F676" s="1" t="s">
        <v>81</v>
      </c>
      <c r="G676" s="1">
        <v>2020</v>
      </c>
      <c r="H676" s="1" t="str">
        <f>IF(tblFLOWOD[[#This Row],[nama_asal]]=tblFLOWOD[[#This Row],[nama_tujuan]],"keluar","isi")</f>
        <v>isi</v>
      </c>
      <c r="I676" s="1" t="str">
        <f>METADATA_SOURCES!$A$2</f>
        <v>SRC001</v>
      </c>
    </row>
    <row r="677" spans="1:9" x14ac:dyDescent="0.3">
      <c r="A677" s="1">
        <v>61</v>
      </c>
      <c r="B677" s="1" t="s">
        <v>61</v>
      </c>
      <c r="C677" s="1">
        <v>76</v>
      </c>
      <c r="D677" s="1" t="s">
        <v>71</v>
      </c>
      <c r="E677" s="8">
        <v>87</v>
      </c>
      <c r="F677" s="1" t="s">
        <v>81</v>
      </c>
      <c r="G677" s="1">
        <v>2020</v>
      </c>
      <c r="H677" s="1" t="str">
        <f>IF(tblFLOWOD[[#This Row],[nama_asal]]=tblFLOWOD[[#This Row],[nama_tujuan]],"keluar","isi")</f>
        <v>isi</v>
      </c>
      <c r="I677" s="1" t="str">
        <f>METADATA_SOURCES!$A$2</f>
        <v>SRC001</v>
      </c>
    </row>
    <row r="678" spans="1:9" x14ac:dyDescent="0.3">
      <c r="A678" s="1">
        <v>61</v>
      </c>
      <c r="B678" s="1" t="s">
        <v>61</v>
      </c>
      <c r="C678" s="1">
        <v>81</v>
      </c>
      <c r="D678" s="1" t="s">
        <v>72</v>
      </c>
      <c r="E678" s="8">
        <v>46</v>
      </c>
      <c r="F678" s="1" t="s">
        <v>81</v>
      </c>
      <c r="G678" s="1">
        <v>2020</v>
      </c>
      <c r="H678" s="1" t="str">
        <f>IF(tblFLOWOD[[#This Row],[nama_asal]]=tblFLOWOD[[#This Row],[nama_tujuan]],"keluar","isi")</f>
        <v>isi</v>
      </c>
      <c r="I678" s="1" t="str">
        <f>METADATA_SOURCES!$A$2</f>
        <v>SRC001</v>
      </c>
    </row>
    <row r="679" spans="1:9" x14ac:dyDescent="0.3">
      <c r="A679" s="1">
        <v>61</v>
      </c>
      <c r="B679" s="1" t="s">
        <v>61</v>
      </c>
      <c r="C679" s="1">
        <v>82</v>
      </c>
      <c r="D679" s="1" t="s">
        <v>73</v>
      </c>
      <c r="E679" s="8">
        <v>52</v>
      </c>
      <c r="F679" s="1" t="s">
        <v>81</v>
      </c>
      <c r="G679" s="1">
        <v>2020</v>
      </c>
      <c r="H679" s="1" t="str">
        <f>IF(tblFLOWOD[[#This Row],[nama_asal]]=tblFLOWOD[[#This Row],[nama_tujuan]],"keluar","isi")</f>
        <v>isi</v>
      </c>
      <c r="I679" s="1" t="str">
        <f>METADATA_SOURCES!$A$2</f>
        <v>SRC001</v>
      </c>
    </row>
    <row r="680" spans="1:9" x14ac:dyDescent="0.3">
      <c r="A680" s="1">
        <v>61</v>
      </c>
      <c r="B680" s="1" t="s">
        <v>61</v>
      </c>
      <c r="C680" s="1">
        <v>91</v>
      </c>
      <c r="D680" s="1" t="s">
        <v>74</v>
      </c>
      <c r="E680" s="8">
        <v>135</v>
      </c>
      <c r="F680" s="1" t="s">
        <v>81</v>
      </c>
      <c r="G680" s="1">
        <v>2020</v>
      </c>
      <c r="H680" s="1" t="str">
        <f>IF(tblFLOWOD[[#This Row],[nama_asal]]=tblFLOWOD[[#This Row],[nama_tujuan]],"keluar","isi")</f>
        <v>isi</v>
      </c>
      <c r="I680" s="1" t="str">
        <f>METADATA_SOURCES!$A$2</f>
        <v>SRC001</v>
      </c>
    </row>
    <row r="681" spans="1:9" x14ac:dyDescent="0.3">
      <c r="A681" s="1">
        <v>61</v>
      </c>
      <c r="B681" s="1" t="s">
        <v>61</v>
      </c>
      <c r="C681" s="1">
        <v>94</v>
      </c>
      <c r="D681" s="1" t="s">
        <v>75</v>
      </c>
      <c r="E681" s="8">
        <v>173</v>
      </c>
      <c r="F681" s="1" t="s">
        <v>81</v>
      </c>
      <c r="G681" s="1">
        <v>2020</v>
      </c>
      <c r="H681" s="1" t="str">
        <f>IF(tblFLOWOD[[#This Row],[nama_asal]]=tblFLOWOD[[#This Row],[nama_tujuan]],"keluar","isi")</f>
        <v>isi</v>
      </c>
      <c r="I681" s="1" t="str">
        <f>METADATA_SOURCES!$A$2</f>
        <v>SRC001</v>
      </c>
    </row>
    <row r="682" spans="1:9" x14ac:dyDescent="0.3">
      <c r="A682" s="1">
        <v>62</v>
      </c>
      <c r="B682" s="1" t="s">
        <v>62</v>
      </c>
      <c r="C682" s="1">
        <v>11</v>
      </c>
      <c r="D682" s="1" t="s">
        <v>42</v>
      </c>
      <c r="E682" s="8">
        <v>2</v>
      </c>
      <c r="F682" s="1" t="s">
        <v>81</v>
      </c>
      <c r="G682" s="1">
        <v>2020</v>
      </c>
      <c r="H682" s="1" t="str">
        <f>IF(tblFLOWOD[[#This Row],[nama_asal]]=tblFLOWOD[[#This Row],[nama_tujuan]],"keluar","isi")</f>
        <v>isi</v>
      </c>
      <c r="I682" s="1" t="str">
        <f>METADATA_SOURCES!$A$2</f>
        <v>SRC001</v>
      </c>
    </row>
    <row r="683" spans="1:9" x14ac:dyDescent="0.3">
      <c r="A683" s="1">
        <v>62</v>
      </c>
      <c r="B683" s="1" t="s">
        <v>62</v>
      </c>
      <c r="C683" s="1">
        <v>12</v>
      </c>
      <c r="D683" s="1" t="s">
        <v>43</v>
      </c>
      <c r="E683" s="8">
        <v>1519</v>
      </c>
      <c r="F683" s="1" t="s">
        <v>81</v>
      </c>
      <c r="G683" s="1">
        <v>2020</v>
      </c>
      <c r="H683" s="1" t="str">
        <f>IF(tblFLOWOD[[#This Row],[nama_asal]]=tblFLOWOD[[#This Row],[nama_tujuan]],"keluar","isi")</f>
        <v>isi</v>
      </c>
      <c r="I683" s="1" t="str">
        <f>METADATA_SOURCES!$A$2</f>
        <v>SRC001</v>
      </c>
    </row>
    <row r="684" spans="1:9" x14ac:dyDescent="0.3">
      <c r="A684" s="1">
        <v>62</v>
      </c>
      <c r="B684" s="1" t="s">
        <v>62</v>
      </c>
      <c r="C684" s="1">
        <v>13</v>
      </c>
      <c r="D684" s="1" t="s">
        <v>44</v>
      </c>
      <c r="E684" s="8">
        <v>474</v>
      </c>
      <c r="F684" s="1" t="s">
        <v>81</v>
      </c>
      <c r="G684" s="1">
        <v>2020</v>
      </c>
      <c r="H684" s="1" t="str">
        <f>IF(tblFLOWOD[[#This Row],[nama_asal]]=tblFLOWOD[[#This Row],[nama_tujuan]],"keluar","isi")</f>
        <v>isi</v>
      </c>
      <c r="I684" s="1" t="str">
        <f>METADATA_SOURCES!$A$2</f>
        <v>SRC001</v>
      </c>
    </row>
    <row r="685" spans="1:9" x14ac:dyDescent="0.3">
      <c r="A685" s="1">
        <v>62</v>
      </c>
      <c r="B685" s="1" t="s">
        <v>62</v>
      </c>
      <c r="C685" s="1">
        <v>14</v>
      </c>
      <c r="D685" s="1" t="s">
        <v>45</v>
      </c>
      <c r="E685" s="8">
        <v>97</v>
      </c>
      <c r="F685" s="1" t="s">
        <v>81</v>
      </c>
      <c r="G685" s="1">
        <v>2020</v>
      </c>
      <c r="H685" s="1" t="str">
        <f>IF(tblFLOWOD[[#This Row],[nama_asal]]=tblFLOWOD[[#This Row],[nama_tujuan]],"keluar","isi")</f>
        <v>isi</v>
      </c>
      <c r="I685" s="1" t="str">
        <f>METADATA_SOURCES!$A$2</f>
        <v>SRC001</v>
      </c>
    </row>
    <row r="686" spans="1:9" x14ac:dyDescent="0.3">
      <c r="A686" s="1">
        <v>62</v>
      </c>
      <c r="B686" s="1" t="s">
        <v>62</v>
      </c>
      <c r="C686" s="1">
        <v>15</v>
      </c>
      <c r="D686" s="1" t="s">
        <v>46</v>
      </c>
      <c r="E686" s="8">
        <v>179</v>
      </c>
      <c r="F686" s="1" t="s">
        <v>81</v>
      </c>
      <c r="G686" s="1">
        <v>2020</v>
      </c>
      <c r="H686" s="1" t="str">
        <f>IF(tblFLOWOD[[#This Row],[nama_asal]]=tblFLOWOD[[#This Row],[nama_tujuan]],"keluar","isi")</f>
        <v>isi</v>
      </c>
      <c r="I686" s="1" t="str">
        <f>METADATA_SOURCES!$A$2</f>
        <v>SRC001</v>
      </c>
    </row>
    <row r="687" spans="1:9" x14ac:dyDescent="0.3">
      <c r="A687" s="1">
        <v>62</v>
      </c>
      <c r="B687" s="1" t="s">
        <v>62</v>
      </c>
      <c r="C687" s="1">
        <v>16</v>
      </c>
      <c r="D687" s="1" t="s">
        <v>47</v>
      </c>
      <c r="E687" s="8">
        <v>207</v>
      </c>
      <c r="F687" s="1" t="s">
        <v>81</v>
      </c>
      <c r="G687" s="1">
        <v>2020</v>
      </c>
      <c r="H687" s="1" t="str">
        <f>IF(tblFLOWOD[[#This Row],[nama_asal]]=tblFLOWOD[[#This Row],[nama_tujuan]],"keluar","isi")</f>
        <v>isi</v>
      </c>
      <c r="I687" s="1" t="str">
        <f>METADATA_SOURCES!$A$2</f>
        <v>SRC001</v>
      </c>
    </row>
    <row r="688" spans="1:9" x14ac:dyDescent="0.3">
      <c r="A688" s="1">
        <v>62</v>
      </c>
      <c r="B688" s="1" t="s">
        <v>62</v>
      </c>
      <c r="C688" s="1">
        <v>17</v>
      </c>
      <c r="D688" s="1" t="s">
        <v>48</v>
      </c>
      <c r="E688" s="8">
        <v>109</v>
      </c>
      <c r="F688" s="1" t="s">
        <v>81</v>
      </c>
      <c r="G688" s="1">
        <v>2020</v>
      </c>
      <c r="H688" s="1" t="str">
        <f>IF(tblFLOWOD[[#This Row],[nama_asal]]=tblFLOWOD[[#This Row],[nama_tujuan]],"keluar","isi")</f>
        <v>isi</v>
      </c>
      <c r="I688" s="1" t="str">
        <f>METADATA_SOURCES!$A$2</f>
        <v>SRC001</v>
      </c>
    </row>
    <row r="689" spans="1:9" x14ac:dyDescent="0.3">
      <c r="A689" s="1">
        <v>62</v>
      </c>
      <c r="B689" s="1" t="s">
        <v>62</v>
      </c>
      <c r="C689" s="1">
        <v>18</v>
      </c>
      <c r="D689" s="1" t="s">
        <v>49</v>
      </c>
      <c r="E689" s="8">
        <v>314</v>
      </c>
      <c r="F689" s="1" t="s">
        <v>81</v>
      </c>
      <c r="G689" s="1">
        <v>2020</v>
      </c>
      <c r="H689" s="1" t="str">
        <f>IF(tblFLOWOD[[#This Row],[nama_asal]]=tblFLOWOD[[#This Row],[nama_tujuan]],"keluar","isi")</f>
        <v>isi</v>
      </c>
      <c r="I689" s="1" t="str">
        <f>METADATA_SOURCES!$A$2</f>
        <v>SRC001</v>
      </c>
    </row>
    <row r="690" spans="1:9" x14ac:dyDescent="0.3">
      <c r="A690" s="1">
        <v>62</v>
      </c>
      <c r="B690" s="1" t="s">
        <v>62</v>
      </c>
      <c r="C690" s="1">
        <v>19</v>
      </c>
      <c r="D690" s="1" t="s">
        <v>50</v>
      </c>
      <c r="E690" s="8">
        <v>51</v>
      </c>
      <c r="F690" s="1" t="s">
        <v>81</v>
      </c>
      <c r="G690" s="1">
        <v>2020</v>
      </c>
      <c r="H690" s="1" t="str">
        <f>IF(tblFLOWOD[[#This Row],[nama_asal]]=tblFLOWOD[[#This Row],[nama_tujuan]],"keluar","isi")</f>
        <v>isi</v>
      </c>
      <c r="I690" s="1" t="str">
        <f>METADATA_SOURCES!$A$2</f>
        <v>SRC001</v>
      </c>
    </row>
    <row r="691" spans="1:9" x14ac:dyDescent="0.3">
      <c r="A691" s="1">
        <v>62</v>
      </c>
      <c r="B691" s="1" t="s">
        <v>62</v>
      </c>
      <c r="C691" s="1">
        <v>21</v>
      </c>
      <c r="D691" s="1" t="s">
        <v>51</v>
      </c>
      <c r="E691" s="8">
        <v>139</v>
      </c>
      <c r="F691" s="1" t="s">
        <v>81</v>
      </c>
      <c r="G691" s="1">
        <v>2020</v>
      </c>
      <c r="H691" s="1" t="str">
        <f>IF(tblFLOWOD[[#This Row],[nama_asal]]=tblFLOWOD[[#This Row],[nama_tujuan]],"keluar","isi")</f>
        <v>isi</v>
      </c>
      <c r="I691" s="1" t="str">
        <f>METADATA_SOURCES!$A$2</f>
        <v>SRC001</v>
      </c>
    </row>
    <row r="692" spans="1:9" x14ac:dyDescent="0.3">
      <c r="A692" s="1">
        <v>62</v>
      </c>
      <c r="B692" s="1" t="s">
        <v>62</v>
      </c>
      <c r="C692" s="1">
        <v>31</v>
      </c>
      <c r="D692" s="1" t="s">
        <v>52</v>
      </c>
      <c r="E692" s="8">
        <v>355</v>
      </c>
      <c r="F692" s="1" t="s">
        <v>81</v>
      </c>
      <c r="G692" s="1">
        <v>2020</v>
      </c>
      <c r="H692" s="1" t="str">
        <f>IF(tblFLOWOD[[#This Row],[nama_asal]]=tblFLOWOD[[#This Row],[nama_tujuan]],"keluar","isi")</f>
        <v>isi</v>
      </c>
      <c r="I692" s="1" t="str">
        <f>METADATA_SOURCES!$A$2</f>
        <v>SRC001</v>
      </c>
    </row>
    <row r="693" spans="1:9" x14ac:dyDescent="0.3">
      <c r="A693" s="1">
        <v>62</v>
      </c>
      <c r="B693" s="1" t="s">
        <v>62</v>
      </c>
      <c r="C693" s="1">
        <v>32</v>
      </c>
      <c r="D693" s="1" t="s">
        <v>53</v>
      </c>
      <c r="E693" s="8">
        <v>1120</v>
      </c>
      <c r="F693" s="1" t="s">
        <v>81</v>
      </c>
      <c r="G693" s="1">
        <v>2020</v>
      </c>
      <c r="H693" s="1" t="str">
        <f>IF(tblFLOWOD[[#This Row],[nama_asal]]=tblFLOWOD[[#This Row],[nama_tujuan]],"keluar","isi")</f>
        <v>isi</v>
      </c>
      <c r="I693" s="1" t="str">
        <f>METADATA_SOURCES!$A$2</f>
        <v>SRC001</v>
      </c>
    </row>
    <row r="694" spans="1:9" x14ac:dyDescent="0.3">
      <c r="A694" s="1">
        <v>62</v>
      </c>
      <c r="B694" s="1" t="s">
        <v>62</v>
      </c>
      <c r="C694" s="1">
        <v>33</v>
      </c>
      <c r="D694" s="1" t="s">
        <v>54</v>
      </c>
      <c r="E694" s="8">
        <v>29980</v>
      </c>
      <c r="F694" s="1" t="s">
        <v>81</v>
      </c>
      <c r="G694" s="1">
        <v>2020</v>
      </c>
      <c r="H694" s="1" t="str">
        <f>IF(tblFLOWOD[[#This Row],[nama_asal]]=tblFLOWOD[[#This Row],[nama_tujuan]],"keluar","isi")</f>
        <v>isi</v>
      </c>
      <c r="I694" s="1" t="str">
        <f>METADATA_SOURCES!$A$2</f>
        <v>SRC001</v>
      </c>
    </row>
    <row r="695" spans="1:9" x14ac:dyDescent="0.3">
      <c r="A695" s="1">
        <v>62</v>
      </c>
      <c r="B695" s="1" t="s">
        <v>62</v>
      </c>
      <c r="C695" s="1">
        <v>34</v>
      </c>
      <c r="D695" s="1" t="s">
        <v>55</v>
      </c>
      <c r="E695" s="8">
        <v>2289</v>
      </c>
      <c r="F695" s="1" t="s">
        <v>81</v>
      </c>
      <c r="G695" s="1">
        <v>2020</v>
      </c>
      <c r="H695" s="1" t="str">
        <f>IF(tblFLOWOD[[#This Row],[nama_asal]]=tblFLOWOD[[#This Row],[nama_tujuan]],"keluar","isi")</f>
        <v>isi</v>
      </c>
      <c r="I695" s="1" t="str">
        <f>METADATA_SOURCES!$A$2</f>
        <v>SRC001</v>
      </c>
    </row>
    <row r="696" spans="1:9" x14ac:dyDescent="0.3">
      <c r="A696" s="1">
        <v>62</v>
      </c>
      <c r="B696" s="1" t="s">
        <v>62</v>
      </c>
      <c r="C696" s="1">
        <v>35</v>
      </c>
      <c r="D696" s="1" t="s">
        <v>56</v>
      </c>
      <c r="E696" s="8">
        <v>9766</v>
      </c>
      <c r="F696" s="1" t="s">
        <v>81</v>
      </c>
      <c r="G696" s="1">
        <v>2020</v>
      </c>
      <c r="H696" s="1" t="str">
        <f>IF(tblFLOWOD[[#This Row],[nama_asal]]=tblFLOWOD[[#This Row],[nama_tujuan]],"keluar","isi")</f>
        <v>isi</v>
      </c>
      <c r="I696" s="1" t="str">
        <f>METADATA_SOURCES!$A$2</f>
        <v>SRC001</v>
      </c>
    </row>
    <row r="697" spans="1:9" x14ac:dyDescent="0.3">
      <c r="A697" s="1">
        <v>62</v>
      </c>
      <c r="B697" s="1" t="s">
        <v>62</v>
      </c>
      <c r="C697" s="1">
        <v>36</v>
      </c>
      <c r="D697" s="1" t="s">
        <v>57</v>
      </c>
      <c r="E697" s="8">
        <v>268</v>
      </c>
      <c r="F697" s="1" t="s">
        <v>81</v>
      </c>
      <c r="G697" s="1">
        <v>2020</v>
      </c>
      <c r="H697" s="1" t="str">
        <f>IF(tblFLOWOD[[#This Row],[nama_asal]]=tblFLOWOD[[#This Row],[nama_tujuan]],"keluar","isi")</f>
        <v>isi</v>
      </c>
      <c r="I697" s="1" t="str">
        <f>METADATA_SOURCES!$A$2</f>
        <v>SRC001</v>
      </c>
    </row>
    <row r="698" spans="1:9" x14ac:dyDescent="0.3">
      <c r="A698" s="1">
        <v>62</v>
      </c>
      <c r="B698" s="1" t="s">
        <v>62</v>
      </c>
      <c r="C698" s="1">
        <v>51</v>
      </c>
      <c r="D698" s="1" t="s">
        <v>58</v>
      </c>
      <c r="E698" s="8">
        <v>80</v>
      </c>
      <c r="F698" s="1" t="s">
        <v>81</v>
      </c>
      <c r="G698" s="1">
        <v>2020</v>
      </c>
      <c r="H698" s="1" t="str">
        <f>IF(tblFLOWOD[[#This Row],[nama_asal]]=tblFLOWOD[[#This Row],[nama_tujuan]],"keluar","isi")</f>
        <v>isi</v>
      </c>
      <c r="I698" s="1" t="str">
        <f>METADATA_SOURCES!$A$2</f>
        <v>SRC001</v>
      </c>
    </row>
    <row r="699" spans="1:9" x14ac:dyDescent="0.3">
      <c r="A699" s="1">
        <v>62</v>
      </c>
      <c r="B699" s="1" t="s">
        <v>62</v>
      </c>
      <c r="C699" s="1">
        <v>52</v>
      </c>
      <c r="D699" s="1" t="s">
        <v>59</v>
      </c>
      <c r="E699" s="8">
        <v>3883</v>
      </c>
      <c r="F699" s="1" t="s">
        <v>81</v>
      </c>
      <c r="G699" s="1">
        <v>2020</v>
      </c>
      <c r="H699" s="1" t="str">
        <f>IF(tblFLOWOD[[#This Row],[nama_asal]]=tblFLOWOD[[#This Row],[nama_tujuan]],"keluar","isi")</f>
        <v>isi</v>
      </c>
      <c r="I699" s="1" t="str">
        <f>METADATA_SOURCES!$A$2</f>
        <v>SRC001</v>
      </c>
    </row>
    <row r="700" spans="1:9" x14ac:dyDescent="0.3">
      <c r="A700" s="1">
        <v>62</v>
      </c>
      <c r="B700" s="1" t="s">
        <v>62</v>
      </c>
      <c r="C700" s="1">
        <v>53</v>
      </c>
      <c r="D700" s="1" t="s">
        <v>60</v>
      </c>
      <c r="E700" s="8">
        <v>3591</v>
      </c>
      <c r="F700" s="1" t="s">
        <v>81</v>
      </c>
      <c r="G700" s="1">
        <v>2020</v>
      </c>
      <c r="H700" s="1" t="str">
        <f>IF(tblFLOWOD[[#This Row],[nama_asal]]=tblFLOWOD[[#This Row],[nama_tujuan]],"keluar","isi")</f>
        <v>isi</v>
      </c>
      <c r="I700" s="1" t="str">
        <f>METADATA_SOURCES!$A$2</f>
        <v>SRC001</v>
      </c>
    </row>
    <row r="701" spans="1:9" x14ac:dyDescent="0.3">
      <c r="A701" s="1">
        <v>62</v>
      </c>
      <c r="B701" s="1" t="s">
        <v>62</v>
      </c>
      <c r="C701" s="1">
        <v>61</v>
      </c>
      <c r="D701" s="1" t="s">
        <v>61</v>
      </c>
      <c r="E701" s="8">
        <v>1523</v>
      </c>
      <c r="F701" s="1" t="s">
        <v>81</v>
      </c>
      <c r="G701" s="1">
        <v>2020</v>
      </c>
      <c r="H701" s="1" t="str">
        <f>IF(tblFLOWOD[[#This Row],[nama_asal]]=tblFLOWOD[[#This Row],[nama_tujuan]],"keluar","isi")</f>
        <v>isi</v>
      </c>
      <c r="I701" s="1" t="str">
        <f>METADATA_SOURCES!$A$2</f>
        <v>SRC001</v>
      </c>
    </row>
    <row r="702" spans="1:9" x14ac:dyDescent="0.3">
      <c r="A702" s="1">
        <v>62</v>
      </c>
      <c r="B702" s="1" t="s">
        <v>62</v>
      </c>
      <c r="C702" s="1">
        <v>62</v>
      </c>
      <c r="D702" s="1" t="s">
        <v>62</v>
      </c>
      <c r="E702" s="8">
        <v>2448146</v>
      </c>
      <c r="F702" s="1" t="s">
        <v>81</v>
      </c>
      <c r="G702" s="1">
        <v>2020</v>
      </c>
      <c r="H702" s="1" t="str">
        <f>IF(tblFLOWOD[[#This Row],[nama_asal]]=tblFLOWOD[[#This Row],[nama_tujuan]],"keluar","isi")</f>
        <v>keluar</v>
      </c>
      <c r="I702" s="1" t="str">
        <f>METADATA_SOURCES!$A$2</f>
        <v>SRC001</v>
      </c>
    </row>
    <row r="703" spans="1:9" x14ac:dyDescent="0.3">
      <c r="A703" s="1">
        <v>62</v>
      </c>
      <c r="B703" s="1" t="s">
        <v>62</v>
      </c>
      <c r="C703" s="1">
        <v>63</v>
      </c>
      <c r="D703" s="1" t="s">
        <v>63</v>
      </c>
      <c r="E703" s="8">
        <v>15674</v>
      </c>
      <c r="F703" s="1" t="s">
        <v>81</v>
      </c>
      <c r="G703" s="1">
        <v>2020</v>
      </c>
      <c r="H703" s="1" t="str">
        <f>IF(tblFLOWOD[[#This Row],[nama_asal]]=tblFLOWOD[[#This Row],[nama_tujuan]],"keluar","isi")</f>
        <v>isi</v>
      </c>
      <c r="I703" s="1" t="str">
        <f>METADATA_SOURCES!$A$2</f>
        <v>SRC001</v>
      </c>
    </row>
    <row r="704" spans="1:9" x14ac:dyDescent="0.3">
      <c r="A704" s="1">
        <v>62</v>
      </c>
      <c r="B704" s="1" t="s">
        <v>62</v>
      </c>
      <c r="C704" s="1">
        <v>64</v>
      </c>
      <c r="D704" s="1" t="s">
        <v>64</v>
      </c>
      <c r="E704" s="8">
        <v>1602</v>
      </c>
      <c r="F704" s="1" t="s">
        <v>81</v>
      </c>
      <c r="G704" s="1">
        <v>2020</v>
      </c>
      <c r="H704" s="1" t="str">
        <f>IF(tblFLOWOD[[#This Row],[nama_asal]]=tblFLOWOD[[#This Row],[nama_tujuan]],"keluar","isi")</f>
        <v>isi</v>
      </c>
      <c r="I704" s="1" t="str">
        <f>METADATA_SOURCES!$A$2</f>
        <v>SRC001</v>
      </c>
    </row>
    <row r="705" spans="1:9" x14ac:dyDescent="0.3">
      <c r="A705" s="1">
        <v>62</v>
      </c>
      <c r="B705" s="1" t="s">
        <v>62</v>
      </c>
      <c r="C705" s="1">
        <v>65</v>
      </c>
      <c r="D705" s="1" t="s">
        <v>65</v>
      </c>
      <c r="E705" s="8">
        <v>119</v>
      </c>
      <c r="F705" s="1" t="s">
        <v>81</v>
      </c>
      <c r="G705" s="1">
        <v>2020</v>
      </c>
      <c r="H705" s="1" t="str">
        <f>IF(tblFLOWOD[[#This Row],[nama_asal]]=tblFLOWOD[[#This Row],[nama_tujuan]],"keluar","isi")</f>
        <v>isi</v>
      </c>
      <c r="I705" s="1" t="str">
        <f>METADATA_SOURCES!$A$2</f>
        <v>SRC001</v>
      </c>
    </row>
    <row r="706" spans="1:9" x14ac:dyDescent="0.3">
      <c r="A706" s="1">
        <v>62</v>
      </c>
      <c r="B706" s="1" t="s">
        <v>62</v>
      </c>
      <c r="C706" s="1">
        <v>71</v>
      </c>
      <c r="D706" s="1" t="s">
        <v>66</v>
      </c>
      <c r="E706" s="8">
        <v>69</v>
      </c>
      <c r="F706" s="1" t="s">
        <v>81</v>
      </c>
      <c r="G706" s="1">
        <v>2020</v>
      </c>
      <c r="H706" s="1" t="str">
        <f>IF(tblFLOWOD[[#This Row],[nama_asal]]=tblFLOWOD[[#This Row],[nama_tujuan]],"keluar","isi")</f>
        <v>isi</v>
      </c>
      <c r="I706" s="1" t="str">
        <f>METADATA_SOURCES!$A$2</f>
        <v>SRC001</v>
      </c>
    </row>
    <row r="707" spans="1:9" x14ac:dyDescent="0.3">
      <c r="A707" s="1">
        <v>62</v>
      </c>
      <c r="B707" s="1" t="s">
        <v>62</v>
      </c>
      <c r="C707" s="1">
        <v>72</v>
      </c>
      <c r="D707" s="1" t="s">
        <v>67</v>
      </c>
      <c r="E707" s="8">
        <v>340</v>
      </c>
      <c r="F707" s="1" t="s">
        <v>81</v>
      </c>
      <c r="G707" s="1">
        <v>2020</v>
      </c>
      <c r="H707" s="1" t="str">
        <f>IF(tblFLOWOD[[#This Row],[nama_asal]]=tblFLOWOD[[#This Row],[nama_tujuan]],"keluar","isi")</f>
        <v>isi</v>
      </c>
      <c r="I707" s="1" t="str">
        <f>METADATA_SOURCES!$A$2</f>
        <v>SRC001</v>
      </c>
    </row>
    <row r="708" spans="1:9" x14ac:dyDescent="0.3">
      <c r="A708" s="1">
        <v>62</v>
      </c>
      <c r="B708" s="1" t="s">
        <v>62</v>
      </c>
      <c r="C708" s="1">
        <v>73</v>
      </c>
      <c r="D708" s="1" t="s">
        <v>68</v>
      </c>
      <c r="E708" s="8">
        <v>679</v>
      </c>
      <c r="F708" s="1" t="s">
        <v>81</v>
      </c>
      <c r="G708" s="1">
        <v>2020</v>
      </c>
      <c r="H708" s="1" t="str">
        <f>IF(tblFLOWOD[[#This Row],[nama_asal]]=tblFLOWOD[[#This Row],[nama_tujuan]],"keluar","isi")</f>
        <v>isi</v>
      </c>
      <c r="I708" s="1" t="str">
        <f>METADATA_SOURCES!$A$2</f>
        <v>SRC001</v>
      </c>
    </row>
    <row r="709" spans="1:9" x14ac:dyDescent="0.3">
      <c r="A709" s="1">
        <v>62</v>
      </c>
      <c r="B709" s="1" t="s">
        <v>62</v>
      </c>
      <c r="C709" s="1">
        <v>74</v>
      </c>
      <c r="D709" s="1" t="s">
        <v>69</v>
      </c>
      <c r="E709" s="8">
        <v>124</v>
      </c>
      <c r="F709" s="1" t="s">
        <v>81</v>
      </c>
      <c r="G709" s="1">
        <v>2020</v>
      </c>
      <c r="H709" s="1" t="str">
        <f>IF(tblFLOWOD[[#This Row],[nama_asal]]=tblFLOWOD[[#This Row],[nama_tujuan]],"keluar","isi")</f>
        <v>isi</v>
      </c>
      <c r="I709" s="1" t="str">
        <f>METADATA_SOURCES!$A$2</f>
        <v>SRC001</v>
      </c>
    </row>
    <row r="710" spans="1:9" x14ac:dyDescent="0.3">
      <c r="A710" s="1">
        <v>62</v>
      </c>
      <c r="B710" s="1" t="s">
        <v>62</v>
      </c>
      <c r="C710" s="1">
        <v>75</v>
      </c>
      <c r="D710" s="1" t="s">
        <v>70</v>
      </c>
      <c r="E710" s="8">
        <v>94</v>
      </c>
      <c r="F710" s="1" t="s">
        <v>81</v>
      </c>
      <c r="G710" s="1">
        <v>2020</v>
      </c>
      <c r="H710" s="1" t="str">
        <f>IF(tblFLOWOD[[#This Row],[nama_asal]]=tblFLOWOD[[#This Row],[nama_tujuan]],"keluar","isi")</f>
        <v>isi</v>
      </c>
      <c r="I710" s="1" t="str">
        <f>METADATA_SOURCES!$A$2</f>
        <v>SRC001</v>
      </c>
    </row>
    <row r="711" spans="1:9" x14ac:dyDescent="0.3">
      <c r="A711" s="1">
        <v>62</v>
      </c>
      <c r="B711" s="1" t="s">
        <v>62</v>
      </c>
      <c r="C711" s="1">
        <v>76</v>
      </c>
      <c r="D711" s="1" t="s">
        <v>71</v>
      </c>
      <c r="E711" s="8">
        <v>163</v>
      </c>
      <c r="F711" s="1" t="s">
        <v>81</v>
      </c>
      <c r="G711" s="1">
        <v>2020</v>
      </c>
      <c r="H711" s="1" t="str">
        <f>IF(tblFLOWOD[[#This Row],[nama_asal]]=tblFLOWOD[[#This Row],[nama_tujuan]],"keluar","isi")</f>
        <v>isi</v>
      </c>
      <c r="I711" s="1" t="str">
        <f>METADATA_SOURCES!$A$2</f>
        <v>SRC001</v>
      </c>
    </row>
    <row r="712" spans="1:9" x14ac:dyDescent="0.3">
      <c r="A712" s="1">
        <v>62</v>
      </c>
      <c r="B712" s="1" t="s">
        <v>62</v>
      </c>
      <c r="C712" s="1">
        <v>81</v>
      </c>
      <c r="D712" s="1" t="s">
        <v>72</v>
      </c>
      <c r="E712" s="8">
        <v>20</v>
      </c>
      <c r="F712" s="1" t="s">
        <v>81</v>
      </c>
      <c r="G712" s="1">
        <v>2020</v>
      </c>
      <c r="H712" s="1" t="str">
        <f>IF(tblFLOWOD[[#This Row],[nama_asal]]=tblFLOWOD[[#This Row],[nama_tujuan]],"keluar","isi")</f>
        <v>isi</v>
      </c>
      <c r="I712" s="1" t="str">
        <f>METADATA_SOURCES!$A$2</f>
        <v>SRC001</v>
      </c>
    </row>
    <row r="713" spans="1:9" x14ac:dyDescent="0.3">
      <c r="A713" s="1">
        <v>62</v>
      </c>
      <c r="B713" s="1" t="s">
        <v>62</v>
      </c>
      <c r="C713" s="1">
        <v>82</v>
      </c>
      <c r="D713" s="1" t="s">
        <v>73</v>
      </c>
      <c r="E713" s="8">
        <v>37</v>
      </c>
      <c r="F713" s="1" t="s">
        <v>81</v>
      </c>
      <c r="G713" s="1">
        <v>2020</v>
      </c>
      <c r="H713" s="1" t="str">
        <f>IF(tblFLOWOD[[#This Row],[nama_asal]]=tblFLOWOD[[#This Row],[nama_tujuan]],"keluar","isi")</f>
        <v>isi</v>
      </c>
      <c r="I713" s="1" t="str">
        <f>METADATA_SOURCES!$A$2</f>
        <v>SRC001</v>
      </c>
    </row>
    <row r="714" spans="1:9" x14ac:dyDescent="0.3">
      <c r="A714" s="1">
        <v>62</v>
      </c>
      <c r="B714" s="1" t="s">
        <v>62</v>
      </c>
      <c r="C714" s="1">
        <v>91</v>
      </c>
      <c r="D714" s="1" t="s">
        <v>74</v>
      </c>
      <c r="E714" s="8">
        <v>6</v>
      </c>
      <c r="F714" s="1" t="s">
        <v>81</v>
      </c>
      <c r="G714" s="1">
        <v>2020</v>
      </c>
      <c r="H714" s="1" t="str">
        <f>IF(tblFLOWOD[[#This Row],[nama_asal]]=tblFLOWOD[[#This Row],[nama_tujuan]],"keluar","isi")</f>
        <v>isi</v>
      </c>
      <c r="I714" s="1" t="str">
        <f>METADATA_SOURCES!$A$2</f>
        <v>SRC001</v>
      </c>
    </row>
    <row r="715" spans="1:9" x14ac:dyDescent="0.3">
      <c r="A715" s="1">
        <v>62</v>
      </c>
      <c r="B715" s="1" t="s">
        <v>62</v>
      </c>
      <c r="C715" s="1">
        <v>94</v>
      </c>
      <c r="D715" s="1" t="s">
        <v>75</v>
      </c>
      <c r="E715" s="8">
        <v>11</v>
      </c>
      <c r="F715" s="1" t="s">
        <v>81</v>
      </c>
      <c r="G715" s="1">
        <v>2020</v>
      </c>
      <c r="H715" s="1" t="str">
        <f>IF(tblFLOWOD[[#This Row],[nama_asal]]=tblFLOWOD[[#This Row],[nama_tujuan]],"keluar","isi")</f>
        <v>isi</v>
      </c>
      <c r="I715" s="1" t="str">
        <f>METADATA_SOURCES!$A$2</f>
        <v>SRC001</v>
      </c>
    </row>
    <row r="716" spans="1:9" x14ac:dyDescent="0.3">
      <c r="A716" s="1">
        <v>63</v>
      </c>
      <c r="B716" s="1" t="s">
        <v>63</v>
      </c>
      <c r="C716" s="1">
        <v>11</v>
      </c>
      <c r="D716" s="1" t="s">
        <v>42</v>
      </c>
      <c r="E716" s="8">
        <v>199</v>
      </c>
      <c r="F716" s="1" t="s">
        <v>81</v>
      </c>
      <c r="G716" s="1">
        <v>2020</v>
      </c>
      <c r="H716" s="1" t="str">
        <f>IF(tblFLOWOD[[#This Row],[nama_asal]]=tblFLOWOD[[#This Row],[nama_tujuan]],"keluar","isi")</f>
        <v>isi</v>
      </c>
      <c r="I716" s="1" t="str">
        <f>METADATA_SOURCES!$A$2</f>
        <v>SRC001</v>
      </c>
    </row>
    <row r="717" spans="1:9" x14ac:dyDescent="0.3">
      <c r="A717" s="1">
        <v>63</v>
      </c>
      <c r="B717" s="1" t="s">
        <v>63</v>
      </c>
      <c r="C717" s="1">
        <v>12</v>
      </c>
      <c r="D717" s="1" t="s">
        <v>43</v>
      </c>
      <c r="E717" s="8">
        <v>813</v>
      </c>
      <c r="F717" s="1" t="s">
        <v>81</v>
      </c>
      <c r="G717" s="1">
        <v>2020</v>
      </c>
      <c r="H717" s="1" t="str">
        <f>IF(tblFLOWOD[[#This Row],[nama_asal]]=tblFLOWOD[[#This Row],[nama_tujuan]],"keluar","isi")</f>
        <v>isi</v>
      </c>
      <c r="I717" s="1" t="str">
        <f>METADATA_SOURCES!$A$2</f>
        <v>SRC001</v>
      </c>
    </row>
    <row r="718" spans="1:9" x14ac:dyDescent="0.3">
      <c r="A718" s="1">
        <v>63</v>
      </c>
      <c r="B718" s="1" t="s">
        <v>63</v>
      </c>
      <c r="C718" s="1">
        <v>13</v>
      </c>
      <c r="D718" s="1" t="s">
        <v>44</v>
      </c>
      <c r="E718" s="8">
        <v>192</v>
      </c>
      <c r="F718" s="1" t="s">
        <v>81</v>
      </c>
      <c r="G718" s="1">
        <v>2020</v>
      </c>
      <c r="H718" s="1" t="str">
        <f>IF(tblFLOWOD[[#This Row],[nama_asal]]=tblFLOWOD[[#This Row],[nama_tujuan]],"keluar","isi")</f>
        <v>isi</v>
      </c>
      <c r="I718" s="1" t="str">
        <f>METADATA_SOURCES!$A$2</f>
        <v>SRC001</v>
      </c>
    </row>
    <row r="719" spans="1:9" x14ac:dyDescent="0.3">
      <c r="A719" s="1">
        <v>63</v>
      </c>
      <c r="B719" s="1" t="s">
        <v>63</v>
      </c>
      <c r="C719" s="1">
        <v>14</v>
      </c>
      <c r="D719" s="1" t="s">
        <v>45</v>
      </c>
      <c r="E719" s="8">
        <v>251</v>
      </c>
      <c r="F719" s="1" t="s">
        <v>81</v>
      </c>
      <c r="G719" s="1">
        <v>2020</v>
      </c>
      <c r="H719" s="1" t="str">
        <f>IF(tblFLOWOD[[#This Row],[nama_asal]]=tblFLOWOD[[#This Row],[nama_tujuan]],"keluar","isi")</f>
        <v>isi</v>
      </c>
      <c r="I719" s="1" t="str">
        <f>METADATA_SOURCES!$A$2</f>
        <v>SRC001</v>
      </c>
    </row>
    <row r="720" spans="1:9" x14ac:dyDescent="0.3">
      <c r="A720" s="1">
        <v>63</v>
      </c>
      <c r="B720" s="1" t="s">
        <v>63</v>
      </c>
      <c r="C720" s="1">
        <v>15</v>
      </c>
      <c r="D720" s="1" t="s">
        <v>46</v>
      </c>
      <c r="E720" s="8">
        <v>20</v>
      </c>
      <c r="F720" s="1" t="s">
        <v>81</v>
      </c>
      <c r="G720" s="1">
        <v>2020</v>
      </c>
      <c r="H720" s="1" t="str">
        <f>IF(tblFLOWOD[[#This Row],[nama_asal]]=tblFLOWOD[[#This Row],[nama_tujuan]],"keluar","isi")</f>
        <v>isi</v>
      </c>
      <c r="I720" s="1" t="str">
        <f>METADATA_SOURCES!$A$2</f>
        <v>SRC001</v>
      </c>
    </row>
    <row r="721" spans="1:9" x14ac:dyDescent="0.3">
      <c r="A721" s="1">
        <v>63</v>
      </c>
      <c r="B721" s="1" t="s">
        <v>63</v>
      </c>
      <c r="C721" s="1">
        <v>16</v>
      </c>
      <c r="D721" s="1" t="s">
        <v>47</v>
      </c>
      <c r="E721" s="8">
        <v>198</v>
      </c>
      <c r="F721" s="1" t="s">
        <v>81</v>
      </c>
      <c r="G721" s="1">
        <v>2020</v>
      </c>
      <c r="H721" s="1" t="str">
        <f>IF(tblFLOWOD[[#This Row],[nama_asal]]=tblFLOWOD[[#This Row],[nama_tujuan]],"keluar","isi")</f>
        <v>isi</v>
      </c>
      <c r="I721" s="1" t="str">
        <f>METADATA_SOURCES!$A$2</f>
        <v>SRC001</v>
      </c>
    </row>
    <row r="722" spans="1:9" x14ac:dyDescent="0.3">
      <c r="A722" s="1">
        <v>63</v>
      </c>
      <c r="B722" s="1" t="s">
        <v>63</v>
      </c>
      <c r="C722" s="1">
        <v>17</v>
      </c>
      <c r="D722" s="1" t="s">
        <v>48</v>
      </c>
      <c r="E722" s="8">
        <v>63</v>
      </c>
      <c r="F722" s="1" t="s">
        <v>81</v>
      </c>
      <c r="G722" s="1">
        <v>2020</v>
      </c>
      <c r="H722" s="1" t="str">
        <f>IF(tblFLOWOD[[#This Row],[nama_asal]]=tblFLOWOD[[#This Row],[nama_tujuan]],"keluar","isi")</f>
        <v>isi</v>
      </c>
      <c r="I722" s="1" t="str">
        <f>METADATA_SOURCES!$A$2</f>
        <v>SRC001</v>
      </c>
    </row>
    <row r="723" spans="1:9" x14ac:dyDescent="0.3">
      <c r="A723" s="1">
        <v>63</v>
      </c>
      <c r="B723" s="1" t="s">
        <v>63</v>
      </c>
      <c r="C723" s="1">
        <v>18</v>
      </c>
      <c r="D723" s="1" t="s">
        <v>49</v>
      </c>
      <c r="E723" s="8">
        <v>606</v>
      </c>
      <c r="F723" s="1" t="s">
        <v>81</v>
      </c>
      <c r="G723" s="1">
        <v>2020</v>
      </c>
      <c r="H723" s="1" t="str">
        <f>IF(tblFLOWOD[[#This Row],[nama_asal]]=tblFLOWOD[[#This Row],[nama_tujuan]],"keluar","isi")</f>
        <v>isi</v>
      </c>
      <c r="I723" s="1" t="str">
        <f>METADATA_SOURCES!$A$2</f>
        <v>SRC001</v>
      </c>
    </row>
    <row r="724" spans="1:9" x14ac:dyDescent="0.3">
      <c r="A724" s="1">
        <v>63</v>
      </c>
      <c r="B724" s="1" t="s">
        <v>63</v>
      </c>
      <c r="C724" s="1">
        <v>19</v>
      </c>
      <c r="D724" s="1" t="s">
        <v>50</v>
      </c>
      <c r="E724" s="8">
        <v>33</v>
      </c>
      <c r="F724" s="1" t="s">
        <v>81</v>
      </c>
      <c r="G724" s="1">
        <v>2020</v>
      </c>
      <c r="H724" s="1" t="str">
        <f>IF(tblFLOWOD[[#This Row],[nama_asal]]=tblFLOWOD[[#This Row],[nama_tujuan]],"keluar","isi")</f>
        <v>isi</v>
      </c>
      <c r="I724" s="1" t="str">
        <f>METADATA_SOURCES!$A$2</f>
        <v>SRC001</v>
      </c>
    </row>
    <row r="725" spans="1:9" x14ac:dyDescent="0.3">
      <c r="A725" s="1">
        <v>63</v>
      </c>
      <c r="B725" s="1" t="s">
        <v>63</v>
      </c>
      <c r="C725" s="1">
        <v>21</v>
      </c>
      <c r="D725" s="1" t="s">
        <v>51</v>
      </c>
      <c r="E725" s="8">
        <v>225</v>
      </c>
      <c r="F725" s="1" t="s">
        <v>81</v>
      </c>
      <c r="G725" s="1">
        <v>2020</v>
      </c>
      <c r="H725" s="1" t="str">
        <f>IF(tblFLOWOD[[#This Row],[nama_asal]]=tblFLOWOD[[#This Row],[nama_tujuan]],"keluar","isi")</f>
        <v>isi</v>
      </c>
      <c r="I725" s="1" t="str">
        <f>METADATA_SOURCES!$A$2</f>
        <v>SRC001</v>
      </c>
    </row>
    <row r="726" spans="1:9" x14ac:dyDescent="0.3">
      <c r="A726" s="1">
        <v>63</v>
      </c>
      <c r="B726" s="1" t="s">
        <v>63</v>
      </c>
      <c r="C726" s="1">
        <v>31</v>
      </c>
      <c r="D726" s="1" t="s">
        <v>52</v>
      </c>
      <c r="E726" s="8">
        <v>835</v>
      </c>
      <c r="F726" s="1" t="s">
        <v>81</v>
      </c>
      <c r="G726" s="1">
        <v>2020</v>
      </c>
      <c r="H726" s="1" t="str">
        <f>IF(tblFLOWOD[[#This Row],[nama_asal]]=tblFLOWOD[[#This Row],[nama_tujuan]],"keluar","isi")</f>
        <v>isi</v>
      </c>
      <c r="I726" s="1" t="str">
        <f>METADATA_SOURCES!$A$2</f>
        <v>SRC001</v>
      </c>
    </row>
    <row r="727" spans="1:9" x14ac:dyDescent="0.3">
      <c r="A727" s="1">
        <v>63</v>
      </c>
      <c r="B727" s="1" t="s">
        <v>63</v>
      </c>
      <c r="C727" s="1">
        <v>32</v>
      </c>
      <c r="D727" s="1" t="s">
        <v>53</v>
      </c>
      <c r="E727" s="8">
        <v>1865</v>
      </c>
      <c r="F727" s="1" t="s">
        <v>81</v>
      </c>
      <c r="G727" s="1">
        <v>2020</v>
      </c>
      <c r="H727" s="1" t="str">
        <f>IF(tblFLOWOD[[#This Row],[nama_asal]]=tblFLOWOD[[#This Row],[nama_tujuan]],"keluar","isi")</f>
        <v>isi</v>
      </c>
      <c r="I727" s="1" t="str">
        <f>METADATA_SOURCES!$A$2</f>
        <v>SRC001</v>
      </c>
    </row>
    <row r="728" spans="1:9" x14ac:dyDescent="0.3">
      <c r="A728" s="1">
        <v>63</v>
      </c>
      <c r="B728" s="1" t="s">
        <v>63</v>
      </c>
      <c r="C728" s="1">
        <v>33</v>
      </c>
      <c r="D728" s="1" t="s">
        <v>54</v>
      </c>
      <c r="E728" s="8">
        <v>7190</v>
      </c>
      <c r="F728" s="1" t="s">
        <v>81</v>
      </c>
      <c r="G728" s="1">
        <v>2020</v>
      </c>
      <c r="H728" s="1" t="str">
        <f>IF(tblFLOWOD[[#This Row],[nama_asal]]=tblFLOWOD[[#This Row],[nama_tujuan]],"keluar","isi")</f>
        <v>isi</v>
      </c>
      <c r="I728" s="1" t="str">
        <f>METADATA_SOURCES!$A$2</f>
        <v>SRC001</v>
      </c>
    </row>
    <row r="729" spans="1:9" x14ac:dyDescent="0.3">
      <c r="A729" s="1">
        <v>63</v>
      </c>
      <c r="B729" s="1" t="s">
        <v>63</v>
      </c>
      <c r="C729" s="1">
        <v>34</v>
      </c>
      <c r="D729" s="1" t="s">
        <v>55</v>
      </c>
      <c r="E729" s="8">
        <v>1866</v>
      </c>
      <c r="F729" s="1" t="s">
        <v>81</v>
      </c>
      <c r="G729" s="1">
        <v>2020</v>
      </c>
      <c r="H729" s="1" t="str">
        <f>IF(tblFLOWOD[[#This Row],[nama_asal]]=tblFLOWOD[[#This Row],[nama_tujuan]],"keluar","isi")</f>
        <v>isi</v>
      </c>
      <c r="I729" s="1" t="str">
        <f>METADATA_SOURCES!$A$2</f>
        <v>SRC001</v>
      </c>
    </row>
    <row r="730" spans="1:9" x14ac:dyDescent="0.3">
      <c r="A730" s="1">
        <v>63</v>
      </c>
      <c r="B730" s="1" t="s">
        <v>63</v>
      </c>
      <c r="C730" s="1">
        <v>35</v>
      </c>
      <c r="D730" s="1" t="s">
        <v>56</v>
      </c>
      <c r="E730" s="8">
        <v>9094</v>
      </c>
      <c r="F730" s="1" t="s">
        <v>81</v>
      </c>
      <c r="G730" s="1">
        <v>2020</v>
      </c>
      <c r="H730" s="1" t="str">
        <f>IF(tblFLOWOD[[#This Row],[nama_asal]]=tblFLOWOD[[#This Row],[nama_tujuan]],"keluar","isi")</f>
        <v>isi</v>
      </c>
      <c r="I730" s="1" t="str">
        <f>METADATA_SOURCES!$A$2</f>
        <v>SRC001</v>
      </c>
    </row>
    <row r="731" spans="1:9" x14ac:dyDescent="0.3">
      <c r="A731" s="1">
        <v>63</v>
      </c>
      <c r="B731" s="1" t="s">
        <v>63</v>
      </c>
      <c r="C731" s="1">
        <v>36</v>
      </c>
      <c r="D731" s="1" t="s">
        <v>57</v>
      </c>
      <c r="E731" s="8">
        <v>521</v>
      </c>
      <c r="F731" s="1" t="s">
        <v>81</v>
      </c>
      <c r="G731" s="1">
        <v>2020</v>
      </c>
      <c r="H731" s="1" t="str">
        <f>IF(tblFLOWOD[[#This Row],[nama_asal]]=tblFLOWOD[[#This Row],[nama_tujuan]],"keluar","isi")</f>
        <v>isi</v>
      </c>
      <c r="I731" s="1" t="str">
        <f>METADATA_SOURCES!$A$2</f>
        <v>SRC001</v>
      </c>
    </row>
    <row r="732" spans="1:9" x14ac:dyDescent="0.3">
      <c r="A732" s="1">
        <v>63</v>
      </c>
      <c r="B732" s="1" t="s">
        <v>63</v>
      </c>
      <c r="C732" s="1">
        <v>51</v>
      </c>
      <c r="D732" s="1" t="s">
        <v>58</v>
      </c>
      <c r="E732" s="8">
        <v>79</v>
      </c>
      <c r="F732" s="1" t="s">
        <v>81</v>
      </c>
      <c r="G732" s="1">
        <v>2020</v>
      </c>
      <c r="H732" s="1" t="str">
        <f>IF(tblFLOWOD[[#This Row],[nama_asal]]=tblFLOWOD[[#This Row],[nama_tujuan]],"keluar","isi")</f>
        <v>isi</v>
      </c>
      <c r="I732" s="1" t="str">
        <f>METADATA_SOURCES!$A$2</f>
        <v>SRC001</v>
      </c>
    </row>
    <row r="733" spans="1:9" x14ac:dyDescent="0.3">
      <c r="A733" s="1">
        <v>63</v>
      </c>
      <c r="B733" s="1" t="s">
        <v>63</v>
      </c>
      <c r="C733" s="1">
        <v>52</v>
      </c>
      <c r="D733" s="1" t="s">
        <v>59</v>
      </c>
      <c r="E733" s="8">
        <v>2037</v>
      </c>
      <c r="F733" s="1" t="s">
        <v>81</v>
      </c>
      <c r="G733" s="1">
        <v>2020</v>
      </c>
      <c r="H733" s="1" t="str">
        <f>IF(tblFLOWOD[[#This Row],[nama_asal]]=tblFLOWOD[[#This Row],[nama_tujuan]],"keluar","isi")</f>
        <v>isi</v>
      </c>
      <c r="I733" s="1" t="str">
        <f>METADATA_SOURCES!$A$2</f>
        <v>SRC001</v>
      </c>
    </row>
    <row r="734" spans="1:9" x14ac:dyDescent="0.3">
      <c r="A734" s="1">
        <v>63</v>
      </c>
      <c r="B734" s="1" t="s">
        <v>63</v>
      </c>
      <c r="C734" s="1">
        <v>53</v>
      </c>
      <c r="D734" s="1" t="s">
        <v>60</v>
      </c>
      <c r="E734" s="8">
        <v>1600</v>
      </c>
      <c r="F734" s="1" t="s">
        <v>81</v>
      </c>
      <c r="G734" s="1">
        <v>2020</v>
      </c>
      <c r="H734" s="1" t="str">
        <f>IF(tblFLOWOD[[#This Row],[nama_asal]]=tblFLOWOD[[#This Row],[nama_tujuan]],"keluar","isi")</f>
        <v>isi</v>
      </c>
      <c r="I734" s="1" t="str">
        <f>METADATA_SOURCES!$A$2</f>
        <v>SRC001</v>
      </c>
    </row>
    <row r="735" spans="1:9" x14ac:dyDescent="0.3">
      <c r="A735" s="1">
        <v>63</v>
      </c>
      <c r="B735" s="1" t="s">
        <v>63</v>
      </c>
      <c r="C735" s="1">
        <v>61</v>
      </c>
      <c r="D735" s="1" t="s">
        <v>61</v>
      </c>
      <c r="E735" s="8">
        <v>527</v>
      </c>
      <c r="F735" s="1" t="s">
        <v>81</v>
      </c>
      <c r="G735" s="1">
        <v>2020</v>
      </c>
      <c r="H735" s="1" t="str">
        <f>IF(tblFLOWOD[[#This Row],[nama_asal]]=tblFLOWOD[[#This Row],[nama_tujuan]],"keluar","isi")</f>
        <v>isi</v>
      </c>
      <c r="I735" s="1" t="str">
        <f>METADATA_SOURCES!$A$2</f>
        <v>SRC001</v>
      </c>
    </row>
    <row r="736" spans="1:9" x14ac:dyDescent="0.3">
      <c r="A736" s="1">
        <v>63</v>
      </c>
      <c r="B736" s="1" t="s">
        <v>63</v>
      </c>
      <c r="C736" s="1">
        <v>62</v>
      </c>
      <c r="D736" s="1" t="s">
        <v>62</v>
      </c>
      <c r="E736" s="8">
        <v>12807</v>
      </c>
      <c r="F736" s="1" t="s">
        <v>81</v>
      </c>
      <c r="G736" s="1">
        <v>2020</v>
      </c>
      <c r="H736" s="1" t="str">
        <f>IF(tblFLOWOD[[#This Row],[nama_asal]]=tblFLOWOD[[#This Row],[nama_tujuan]],"keluar","isi")</f>
        <v>isi</v>
      </c>
      <c r="I736" s="1" t="str">
        <f>METADATA_SOURCES!$A$2</f>
        <v>SRC001</v>
      </c>
    </row>
    <row r="737" spans="1:9" x14ac:dyDescent="0.3">
      <c r="A737" s="1">
        <v>63</v>
      </c>
      <c r="B737" s="1" t="s">
        <v>63</v>
      </c>
      <c r="C737" s="1">
        <v>63</v>
      </c>
      <c r="D737" s="1" t="s">
        <v>63</v>
      </c>
      <c r="E737" s="8">
        <v>3761405</v>
      </c>
      <c r="F737" s="1" t="s">
        <v>81</v>
      </c>
      <c r="G737" s="1">
        <v>2020</v>
      </c>
      <c r="H737" s="1" t="str">
        <f>IF(tblFLOWOD[[#This Row],[nama_asal]]=tblFLOWOD[[#This Row],[nama_tujuan]],"keluar","isi")</f>
        <v>keluar</v>
      </c>
      <c r="I737" s="1" t="str">
        <f>METADATA_SOURCES!$A$2</f>
        <v>SRC001</v>
      </c>
    </row>
    <row r="738" spans="1:9" x14ac:dyDescent="0.3">
      <c r="A738" s="1">
        <v>63</v>
      </c>
      <c r="B738" s="1" t="s">
        <v>63</v>
      </c>
      <c r="C738" s="1">
        <v>64</v>
      </c>
      <c r="D738" s="1" t="s">
        <v>64</v>
      </c>
      <c r="E738" s="8">
        <v>7962</v>
      </c>
      <c r="F738" s="1" t="s">
        <v>81</v>
      </c>
      <c r="G738" s="1">
        <v>2020</v>
      </c>
      <c r="H738" s="1" t="str">
        <f>IF(tblFLOWOD[[#This Row],[nama_asal]]=tblFLOWOD[[#This Row],[nama_tujuan]],"keluar","isi")</f>
        <v>isi</v>
      </c>
      <c r="I738" s="1" t="str">
        <f>METADATA_SOURCES!$A$2</f>
        <v>SRC001</v>
      </c>
    </row>
    <row r="739" spans="1:9" x14ac:dyDescent="0.3">
      <c r="A739" s="1">
        <v>63</v>
      </c>
      <c r="B739" s="1" t="s">
        <v>63</v>
      </c>
      <c r="C739" s="1">
        <v>65</v>
      </c>
      <c r="D739" s="1" t="s">
        <v>65</v>
      </c>
      <c r="E739" s="8">
        <v>541</v>
      </c>
      <c r="F739" s="1" t="s">
        <v>81</v>
      </c>
      <c r="G739" s="1">
        <v>2020</v>
      </c>
      <c r="H739" s="1" t="str">
        <f>IF(tblFLOWOD[[#This Row],[nama_asal]]=tblFLOWOD[[#This Row],[nama_tujuan]],"keluar","isi")</f>
        <v>isi</v>
      </c>
      <c r="I739" s="1" t="str">
        <f>METADATA_SOURCES!$A$2</f>
        <v>SRC001</v>
      </c>
    </row>
    <row r="740" spans="1:9" x14ac:dyDescent="0.3">
      <c r="A740" s="1">
        <v>63</v>
      </c>
      <c r="B740" s="1" t="s">
        <v>63</v>
      </c>
      <c r="C740" s="1">
        <v>71</v>
      </c>
      <c r="D740" s="1" t="s">
        <v>66</v>
      </c>
      <c r="E740" s="8">
        <v>226</v>
      </c>
      <c r="F740" s="1" t="s">
        <v>81</v>
      </c>
      <c r="G740" s="1">
        <v>2020</v>
      </c>
      <c r="H740" s="1" t="str">
        <f>IF(tblFLOWOD[[#This Row],[nama_asal]]=tblFLOWOD[[#This Row],[nama_tujuan]],"keluar","isi")</f>
        <v>isi</v>
      </c>
      <c r="I740" s="1" t="str">
        <f>METADATA_SOURCES!$A$2</f>
        <v>SRC001</v>
      </c>
    </row>
    <row r="741" spans="1:9" x14ac:dyDescent="0.3">
      <c r="A741" s="1">
        <v>63</v>
      </c>
      <c r="B741" s="1" t="s">
        <v>63</v>
      </c>
      <c r="C741" s="1">
        <v>72</v>
      </c>
      <c r="D741" s="1" t="s">
        <v>67</v>
      </c>
      <c r="E741" s="8">
        <v>163</v>
      </c>
      <c r="F741" s="1" t="s">
        <v>81</v>
      </c>
      <c r="G741" s="1">
        <v>2020</v>
      </c>
      <c r="H741" s="1" t="str">
        <f>IF(tblFLOWOD[[#This Row],[nama_asal]]=tblFLOWOD[[#This Row],[nama_tujuan]],"keluar","isi")</f>
        <v>isi</v>
      </c>
      <c r="I741" s="1" t="str">
        <f>METADATA_SOURCES!$A$2</f>
        <v>SRC001</v>
      </c>
    </row>
    <row r="742" spans="1:9" x14ac:dyDescent="0.3">
      <c r="A742" s="1">
        <v>63</v>
      </c>
      <c r="B742" s="1" t="s">
        <v>63</v>
      </c>
      <c r="C742" s="1">
        <v>73</v>
      </c>
      <c r="D742" s="1" t="s">
        <v>68</v>
      </c>
      <c r="E742" s="8">
        <v>2527</v>
      </c>
      <c r="F742" s="1" t="s">
        <v>81</v>
      </c>
      <c r="G742" s="1">
        <v>2020</v>
      </c>
      <c r="H742" s="1" t="str">
        <f>IF(tblFLOWOD[[#This Row],[nama_asal]]=tblFLOWOD[[#This Row],[nama_tujuan]],"keluar","isi")</f>
        <v>isi</v>
      </c>
      <c r="I742" s="1" t="str">
        <f>METADATA_SOURCES!$A$2</f>
        <v>SRC001</v>
      </c>
    </row>
    <row r="743" spans="1:9" x14ac:dyDescent="0.3">
      <c r="A743" s="1">
        <v>63</v>
      </c>
      <c r="B743" s="1" t="s">
        <v>63</v>
      </c>
      <c r="C743" s="1">
        <v>74</v>
      </c>
      <c r="D743" s="1" t="s">
        <v>69</v>
      </c>
      <c r="E743" s="8">
        <v>519</v>
      </c>
      <c r="F743" s="1" t="s">
        <v>81</v>
      </c>
      <c r="G743" s="1">
        <v>2020</v>
      </c>
      <c r="H743" s="1" t="str">
        <f>IF(tblFLOWOD[[#This Row],[nama_asal]]=tblFLOWOD[[#This Row],[nama_tujuan]],"keluar","isi")</f>
        <v>isi</v>
      </c>
      <c r="I743" s="1" t="str">
        <f>METADATA_SOURCES!$A$2</f>
        <v>SRC001</v>
      </c>
    </row>
    <row r="744" spans="1:9" x14ac:dyDescent="0.3">
      <c r="A744" s="1">
        <v>63</v>
      </c>
      <c r="B744" s="1" t="s">
        <v>63</v>
      </c>
      <c r="C744" s="1">
        <v>75</v>
      </c>
      <c r="D744" s="1" t="s">
        <v>70</v>
      </c>
      <c r="E744" s="8">
        <v>35</v>
      </c>
      <c r="F744" s="1" t="s">
        <v>81</v>
      </c>
      <c r="G744" s="1">
        <v>2020</v>
      </c>
      <c r="H744" s="1" t="str">
        <f>IF(tblFLOWOD[[#This Row],[nama_asal]]=tblFLOWOD[[#This Row],[nama_tujuan]],"keluar","isi")</f>
        <v>isi</v>
      </c>
      <c r="I744" s="1" t="str">
        <f>METADATA_SOURCES!$A$2</f>
        <v>SRC001</v>
      </c>
    </row>
    <row r="745" spans="1:9" x14ac:dyDescent="0.3">
      <c r="A745" s="1">
        <v>63</v>
      </c>
      <c r="B745" s="1" t="s">
        <v>63</v>
      </c>
      <c r="C745" s="1">
        <v>76</v>
      </c>
      <c r="D745" s="1" t="s">
        <v>71</v>
      </c>
      <c r="E745" s="8">
        <v>530</v>
      </c>
      <c r="F745" s="1" t="s">
        <v>81</v>
      </c>
      <c r="G745" s="1">
        <v>2020</v>
      </c>
      <c r="H745" s="1" t="str">
        <f>IF(tblFLOWOD[[#This Row],[nama_asal]]=tblFLOWOD[[#This Row],[nama_tujuan]],"keluar","isi")</f>
        <v>isi</v>
      </c>
      <c r="I745" s="1" t="str">
        <f>METADATA_SOURCES!$A$2</f>
        <v>SRC001</v>
      </c>
    </row>
    <row r="746" spans="1:9" x14ac:dyDescent="0.3">
      <c r="A746" s="1">
        <v>63</v>
      </c>
      <c r="B746" s="1" t="s">
        <v>63</v>
      </c>
      <c r="C746" s="1">
        <v>81</v>
      </c>
      <c r="D746" s="1" t="s">
        <v>72</v>
      </c>
      <c r="E746" s="8">
        <v>203</v>
      </c>
      <c r="F746" s="1" t="s">
        <v>81</v>
      </c>
      <c r="G746" s="1">
        <v>2020</v>
      </c>
      <c r="H746" s="1" t="str">
        <f>IF(tblFLOWOD[[#This Row],[nama_asal]]=tblFLOWOD[[#This Row],[nama_tujuan]],"keluar","isi")</f>
        <v>isi</v>
      </c>
      <c r="I746" s="1" t="str">
        <f>METADATA_SOURCES!$A$2</f>
        <v>SRC001</v>
      </c>
    </row>
    <row r="747" spans="1:9" x14ac:dyDescent="0.3">
      <c r="A747" s="1">
        <v>63</v>
      </c>
      <c r="B747" s="1" t="s">
        <v>63</v>
      </c>
      <c r="C747" s="1">
        <v>82</v>
      </c>
      <c r="D747" s="1" t="s">
        <v>73</v>
      </c>
      <c r="E747" s="8">
        <v>31</v>
      </c>
      <c r="F747" s="1" t="s">
        <v>81</v>
      </c>
      <c r="G747" s="1">
        <v>2020</v>
      </c>
      <c r="H747" s="1" t="str">
        <f>IF(tblFLOWOD[[#This Row],[nama_asal]]=tblFLOWOD[[#This Row],[nama_tujuan]],"keluar","isi")</f>
        <v>isi</v>
      </c>
      <c r="I747" s="1" t="str">
        <f>METADATA_SOURCES!$A$2</f>
        <v>SRC001</v>
      </c>
    </row>
    <row r="748" spans="1:9" x14ac:dyDescent="0.3">
      <c r="A748" s="1">
        <v>63</v>
      </c>
      <c r="B748" s="1" t="s">
        <v>63</v>
      </c>
      <c r="C748" s="1">
        <v>91</v>
      </c>
      <c r="D748" s="1" t="s">
        <v>74</v>
      </c>
      <c r="E748" s="8">
        <v>30</v>
      </c>
      <c r="F748" s="1" t="s">
        <v>81</v>
      </c>
      <c r="G748" s="1">
        <v>2020</v>
      </c>
      <c r="H748" s="1" t="str">
        <f>IF(tblFLOWOD[[#This Row],[nama_asal]]=tblFLOWOD[[#This Row],[nama_tujuan]],"keluar","isi")</f>
        <v>isi</v>
      </c>
      <c r="I748" s="1" t="str">
        <f>METADATA_SOURCES!$A$2</f>
        <v>SRC001</v>
      </c>
    </row>
    <row r="749" spans="1:9" x14ac:dyDescent="0.3">
      <c r="A749" s="1">
        <v>63</v>
      </c>
      <c r="B749" s="1" t="s">
        <v>63</v>
      </c>
      <c r="C749" s="1">
        <v>94</v>
      </c>
      <c r="D749" s="1" t="s">
        <v>75</v>
      </c>
      <c r="E749" s="8">
        <v>77</v>
      </c>
      <c r="F749" s="1" t="s">
        <v>81</v>
      </c>
      <c r="G749" s="1">
        <v>2020</v>
      </c>
      <c r="H749" s="1" t="str">
        <f>IF(tblFLOWOD[[#This Row],[nama_asal]]=tblFLOWOD[[#This Row],[nama_tujuan]],"keluar","isi")</f>
        <v>isi</v>
      </c>
      <c r="I749" s="1" t="str">
        <f>METADATA_SOURCES!$A$2</f>
        <v>SRC001</v>
      </c>
    </row>
    <row r="750" spans="1:9" x14ac:dyDescent="0.3">
      <c r="A750" s="1">
        <v>64</v>
      </c>
      <c r="B750" s="1" t="s">
        <v>64</v>
      </c>
      <c r="C750" s="1">
        <v>11</v>
      </c>
      <c r="D750" s="1" t="s">
        <v>42</v>
      </c>
      <c r="E750" s="8">
        <v>2</v>
      </c>
      <c r="F750" s="1" t="s">
        <v>81</v>
      </c>
      <c r="G750" s="1">
        <v>2020</v>
      </c>
      <c r="H750" s="1" t="str">
        <f>IF(tblFLOWOD[[#This Row],[nama_asal]]=tblFLOWOD[[#This Row],[nama_tujuan]],"keluar","isi")</f>
        <v>isi</v>
      </c>
      <c r="I750" s="1" t="str">
        <f>METADATA_SOURCES!$A$2</f>
        <v>SRC001</v>
      </c>
    </row>
    <row r="751" spans="1:9" x14ac:dyDescent="0.3">
      <c r="A751" s="1">
        <v>64</v>
      </c>
      <c r="B751" s="1" t="s">
        <v>64</v>
      </c>
      <c r="C751" s="1">
        <v>12</v>
      </c>
      <c r="D751" s="1" t="s">
        <v>43</v>
      </c>
      <c r="E751" s="8">
        <v>1698</v>
      </c>
      <c r="F751" s="1" t="s">
        <v>81</v>
      </c>
      <c r="G751" s="1">
        <v>2020</v>
      </c>
      <c r="H751" s="1" t="str">
        <f>IF(tblFLOWOD[[#This Row],[nama_asal]]=tblFLOWOD[[#This Row],[nama_tujuan]],"keluar","isi")</f>
        <v>isi</v>
      </c>
      <c r="I751" s="1" t="str">
        <f>METADATA_SOURCES!$A$2</f>
        <v>SRC001</v>
      </c>
    </row>
    <row r="752" spans="1:9" x14ac:dyDescent="0.3">
      <c r="A752" s="1">
        <v>64</v>
      </c>
      <c r="B752" s="1" t="s">
        <v>64</v>
      </c>
      <c r="C752" s="1">
        <v>13</v>
      </c>
      <c r="D752" s="1" t="s">
        <v>44</v>
      </c>
      <c r="E752" s="8">
        <v>406</v>
      </c>
      <c r="F752" s="1" t="s">
        <v>81</v>
      </c>
      <c r="G752" s="1">
        <v>2020</v>
      </c>
      <c r="H752" s="1" t="str">
        <f>IF(tblFLOWOD[[#This Row],[nama_asal]]=tblFLOWOD[[#This Row],[nama_tujuan]],"keluar","isi")</f>
        <v>isi</v>
      </c>
      <c r="I752" s="1" t="str">
        <f>METADATA_SOURCES!$A$2</f>
        <v>SRC001</v>
      </c>
    </row>
    <row r="753" spans="1:9" x14ac:dyDescent="0.3">
      <c r="A753" s="1">
        <v>64</v>
      </c>
      <c r="B753" s="1" t="s">
        <v>64</v>
      </c>
      <c r="C753" s="1">
        <v>14</v>
      </c>
      <c r="D753" s="1" t="s">
        <v>45</v>
      </c>
      <c r="E753" s="8">
        <v>272</v>
      </c>
      <c r="F753" s="1" t="s">
        <v>81</v>
      </c>
      <c r="G753" s="1">
        <v>2020</v>
      </c>
      <c r="H753" s="1" t="str">
        <f>IF(tblFLOWOD[[#This Row],[nama_asal]]=tblFLOWOD[[#This Row],[nama_tujuan]],"keluar","isi")</f>
        <v>isi</v>
      </c>
      <c r="I753" s="1" t="str">
        <f>METADATA_SOURCES!$A$2</f>
        <v>SRC001</v>
      </c>
    </row>
    <row r="754" spans="1:9" x14ac:dyDescent="0.3">
      <c r="A754" s="1">
        <v>64</v>
      </c>
      <c r="B754" s="1" t="s">
        <v>64</v>
      </c>
      <c r="C754" s="1">
        <v>15</v>
      </c>
      <c r="D754" s="1" t="s">
        <v>46</v>
      </c>
      <c r="E754" s="8">
        <v>133</v>
      </c>
      <c r="F754" s="1" t="s">
        <v>81</v>
      </c>
      <c r="G754" s="1">
        <v>2020</v>
      </c>
      <c r="H754" s="1" t="str">
        <f>IF(tblFLOWOD[[#This Row],[nama_asal]]=tblFLOWOD[[#This Row],[nama_tujuan]],"keluar","isi")</f>
        <v>isi</v>
      </c>
      <c r="I754" s="1" t="str">
        <f>METADATA_SOURCES!$A$2</f>
        <v>SRC001</v>
      </c>
    </row>
    <row r="755" spans="1:9" x14ac:dyDescent="0.3">
      <c r="A755" s="1">
        <v>64</v>
      </c>
      <c r="B755" s="1" t="s">
        <v>64</v>
      </c>
      <c r="C755" s="1">
        <v>16</v>
      </c>
      <c r="D755" s="1" t="s">
        <v>47</v>
      </c>
      <c r="E755" s="8">
        <v>920</v>
      </c>
      <c r="F755" s="1" t="s">
        <v>81</v>
      </c>
      <c r="G755" s="1">
        <v>2020</v>
      </c>
      <c r="H755" s="1" t="str">
        <f>IF(tblFLOWOD[[#This Row],[nama_asal]]=tblFLOWOD[[#This Row],[nama_tujuan]],"keluar","isi")</f>
        <v>isi</v>
      </c>
      <c r="I755" s="1" t="str">
        <f>METADATA_SOURCES!$A$2</f>
        <v>SRC001</v>
      </c>
    </row>
    <row r="756" spans="1:9" x14ac:dyDescent="0.3">
      <c r="A756" s="1">
        <v>64</v>
      </c>
      <c r="B756" s="1" t="s">
        <v>64</v>
      </c>
      <c r="C756" s="1">
        <v>17</v>
      </c>
      <c r="D756" s="1" t="s">
        <v>48</v>
      </c>
      <c r="E756" s="8">
        <v>123</v>
      </c>
      <c r="F756" s="1" t="s">
        <v>81</v>
      </c>
      <c r="G756" s="1">
        <v>2020</v>
      </c>
      <c r="H756" s="1" t="str">
        <f>IF(tblFLOWOD[[#This Row],[nama_asal]]=tblFLOWOD[[#This Row],[nama_tujuan]],"keluar","isi")</f>
        <v>isi</v>
      </c>
      <c r="I756" s="1" t="str">
        <f>METADATA_SOURCES!$A$2</f>
        <v>SRC001</v>
      </c>
    </row>
    <row r="757" spans="1:9" x14ac:dyDescent="0.3">
      <c r="A757" s="1">
        <v>64</v>
      </c>
      <c r="B757" s="1" t="s">
        <v>64</v>
      </c>
      <c r="C757" s="1">
        <v>18</v>
      </c>
      <c r="D757" s="1" t="s">
        <v>49</v>
      </c>
      <c r="E757" s="8">
        <v>1058</v>
      </c>
      <c r="F757" s="1" t="s">
        <v>81</v>
      </c>
      <c r="G757" s="1">
        <v>2020</v>
      </c>
      <c r="H757" s="1" t="str">
        <f>IF(tblFLOWOD[[#This Row],[nama_asal]]=tblFLOWOD[[#This Row],[nama_tujuan]],"keluar","isi")</f>
        <v>isi</v>
      </c>
      <c r="I757" s="1" t="str">
        <f>METADATA_SOURCES!$A$2</f>
        <v>SRC001</v>
      </c>
    </row>
    <row r="758" spans="1:9" x14ac:dyDescent="0.3">
      <c r="A758" s="1">
        <v>64</v>
      </c>
      <c r="B758" s="1" t="s">
        <v>64</v>
      </c>
      <c r="C758" s="1">
        <v>19</v>
      </c>
      <c r="D758" s="1" t="s">
        <v>50</v>
      </c>
      <c r="E758" s="8">
        <v>112</v>
      </c>
      <c r="F758" s="1" t="s">
        <v>81</v>
      </c>
      <c r="G758" s="1">
        <v>2020</v>
      </c>
      <c r="H758" s="1" t="str">
        <f>IF(tblFLOWOD[[#This Row],[nama_asal]]=tblFLOWOD[[#This Row],[nama_tujuan]],"keluar","isi")</f>
        <v>isi</v>
      </c>
      <c r="I758" s="1" t="str">
        <f>METADATA_SOURCES!$A$2</f>
        <v>SRC001</v>
      </c>
    </row>
    <row r="759" spans="1:9" x14ac:dyDescent="0.3">
      <c r="A759" s="1">
        <v>64</v>
      </c>
      <c r="B759" s="1" t="s">
        <v>64</v>
      </c>
      <c r="C759" s="1">
        <v>21</v>
      </c>
      <c r="D759" s="1" t="s">
        <v>51</v>
      </c>
      <c r="E759" s="8">
        <v>249</v>
      </c>
      <c r="F759" s="1" t="s">
        <v>81</v>
      </c>
      <c r="G759" s="1">
        <v>2020</v>
      </c>
      <c r="H759" s="1" t="str">
        <f>IF(tblFLOWOD[[#This Row],[nama_asal]]=tblFLOWOD[[#This Row],[nama_tujuan]],"keluar","isi")</f>
        <v>isi</v>
      </c>
      <c r="I759" s="1" t="str">
        <f>METADATA_SOURCES!$A$2</f>
        <v>SRC001</v>
      </c>
    </row>
    <row r="760" spans="1:9" x14ac:dyDescent="0.3">
      <c r="A760" s="1">
        <v>64</v>
      </c>
      <c r="B760" s="1" t="s">
        <v>64</v>
      </c>
      <c r="C760" s="1">
        <v>31</v>
      </c>
      <c r="D760" s="1" t="s">
        <v>52</v>
      </c>
      <c r="E760" s="8">
        <v>688</v>
      </c>
      <c r="F760" s="1" t="s">
        <v>81</v>
      </c>
      <c r="G760" s="1">
        <v>2020</v>
      </c>
      <c r="H760" s="1" t="str">
        <f>IF(tblFLOWOD[[#This Row],[nama_asal]]=tblFLOWOD[[#This Row],[nama_tujuan]],"keluar","isi")</f>
        <v>isi</v>
      </c>
      <c r="I760" s="1" t="str">
        <f>METADATA_SOURCES!$A$2</f>
        <v>SRC001</v>
      </c>
    </row>
    <row r="761" spans="1:9" x14ac:dyDescent="0.3">
      <c r="A761" s="1">
        <v>64</v>
      </c>
      <c r="B761" s="1" t="s">
        <v>64</v>
      </c>
      <c r="C761" s="1">
        <v>32</v>
      </c>
      <c r="D761" s="1" t="s">
        <v>53</v>
      </c>
      <c r="E761" s="8">
        <v>3689</v>
      </c>
      <c r="F761" s="1" t="s">
        <v>81</v>
      </c>
      <c r="G761" s="1">
        <v>2020</v>
      </c>
      <c r="H761" s="1" t="str">
        <f>IF(tblFLOWOD[[#This Row],[nama_asal]]=tblFLOWOD[[#This Row],[nama_tujuan]],"keluar","isi")</f>
        <v>isi</v>
      </c>
      <c r="I761" s="1" t="str">
        <f>METADATA_SOURCES!$A$2</f>
        <v>SRC001</v>
      </c>
    </row>
    <row r="762" spans="1:9" x14ac:dyDescent="0.3">
      <c r="A762" s="1">
        <v>64</v>
      </c>
      <c r="B762" s="1" t="s">
        <v>64</v>
      </c>
      <c r="C762" s="1">
        <v>33</v>
      </c>
      <c r="D762" s="1" t="s">
        <v>54</v>
      </c>
      <c r="E762" s="8">
        <v>14121</v>
      </c>
      <c r="F762" s="1" t="s">
        <v>81</v>
      </c>
      <c r="G762" s="1">
        <v>2020</v>
      </c>
      <c r="H762" s="1" t="str">
        <f>IF(tblFLOWOD[[#This Row],[nama_asal]]=tblFLOWOD[[#This Row],[nama_tujuan]],"keluar","isi")</f>
        <v>isi</v>
      </c>
      <c r="I762" s="1" t="str">
        <f>METADATA_SOURCES!$A$2</f>
        <v>SRC001</v>
      </c>
    </row>
    <row r="763" spans="1:9" x14ac:dyDescent="0.3">
      <c r="A763" s="1">
        <v>64</v>
      </c>
      <c r="B763" s="1" t="s">
        <v>64</v>
      </c>
      <c r="C763" s="1">
        <v>34</v>
      </c>
      <c r="D763" s="1" t="s">
        <v>55</v>
      </c>
      <c r="E763" s="8">
        <v>4158</v>
      </c>
      <c r="F763" s="1" t="s">
        <v>81</v>
      </c>
      <c r="G763" s="1">
        <v>2020</v>
      </c>
      <c r="H763" s="1" t="str">
        <f>IF(tblFLOWOD[[#This Row],[nama_asal]]=tblFLOWOD[[#This Row],[nama_tujuan]],"keluar","isi")</f>
        <v>isi</v>
      </c>
      <c r="I763" s="1" t="str">
        <f>METADATA_SOURCES!$A$2</f>
        <v>SRC001</v>
      </c>
    </row>
    <row r="764" spans="1:9" x14ac:dyDescent="0.3">
      <c r="A764" s="1">
        <v>64</v>
      </c>
      <c r="B764" s="1" t="s">
        <v>64</v>
      </c>
      <c r="C764" s="1">
        <v>35</v>
      </c>
      <c r="D764" s="1" t="s">
        <v>56</v>
      </c>
      <c r="E764" s="8">
        <v>22712</v>
      </c>
      <c r="F764" s="1" t="s">
        <v>81</v>
      </c>
      <c r="G764" s="1">
        <v>2020</v>
      </c>
      <c r="H764" s="1" t="str">
        <f>IF(tblFLOWOD[[#This Row],[nama_asal]]=tblFLOWOD[[#This Row],[nama_tujuan]],"keluar","isi")</f>
        <v>isi</v>
      </c>
      <c r="I764" s="1" t="str">
        <f>METADATA_SOURCES!$A$2</f>
        <v>SRC001</v>
      </c>
    </row>
    <row r="765" spans="1:9" x14ac:dyDescent="0.3">
      <c r="A765" s="1">
        <v>64</v>
      </c>
      <c r="B765" s="1" t="s">
        <v>64</v>
      </c>
      <c r="C765" s="1">
        <v>36</v>
      </c>
      <c r="D765" s="1" t="s">
        <v>57</v>
      </c>
      <c r="E765" s="8">
        <v>703</v>
      </c>
      <c r="F765" s="1" t="s">
        <v>81</v>
      </c>
      <c r="G765" s="1">
        <v>2020</v>
      </c>
      <c r="H765" s="1" t="str">
        <f>IF(tblFLOWOD[[#This Row],[nama_asal]]=tblFLOWOD[[#This Row],[nama_tujuan]],"keluar","isi")</f>
        <v>isi</v>
      </c>
      <c r="I765" s="1" t="str">
        <f>METADATA_SOURCES!$A$2</f>
        <v>SRC001</v>
      </c>
    </row>
    <row r="766" spans="1:9" x14ac:dyDescent="0.3">
      <c r="A766" s="1">
        <v>64</v>
      </c>
      <c r="B766" s="1" t="s">
        <v>64</v>
      </c>
      <c r="C766" s="1">
        <v>51</v>
      </c>
      <c r="D766" s="1" t="s">
        <v>58</v>
      </c>
      <c r="E766" s="8">
        <v>302</v>
      </c>
      <c r="F766" s="1" t="s">
        <v>81</v>
      </c>
      <c r="G766" s="1">
        <v>2020</v>
      </c>
      <c r="H766" s="1" t="str">
        <f>IF(tblFLOWOD[[#This Row],[nama_asal]]=tblFLOWOD[[#This Row],[nama_tujuan]],"keluar","isi")</f>
        <v>isi</v>
      </c>
      <c r="I766" s="1" t="str">
        <f>METADATA_SOURCES!$A$2</f>
        <v>SRC001</v>
      </c>
    </row>
    <row r="767" spans="1:9" x14ac:dyDescent="0.3">
      <c r="A767" s="1">
        <v>64</v>
      </c>
      <c r="B767" s="1" t="s">
        <v>64</v>
      </c>
      <c r="C767" s="1">
        <v>52</v>
      </c>
      <c r="D767" s="1" t="s">
        <v>59</v>
      </c>
      <c r="E767" s="8">
        <v>7658</v>
      </c>
      <c r="F767" s="1" t="s">
        <v>81</v>
      </c>
      <c r="G767" s="1">
        <v>2020</v>
      </c>
      <c r="H767" s="1" t="str">
        <f>IF(tblFLOWOD[[#This Row],[nama_asal]]=tblFLOWOD[[#This Row],[nama_tujuan]],"keluar","isi")</f>
        <v>isi</v>
      </c>
      <c r="I767" s="1" t="str">
        <f>METADATA_SOURCES!$A$2</f>
        <v>SRC001</v>
      </c>
    </row>
    <row r="768" spans="1:9" x14ac:dyDescent="0.3">
      <c r="A768" s="1">
        <v>64</v>
      </c>
      <c r="B768" s="1" t="s">
        <v>64</v>
      </c>
      <c r="C768" s="1">
        <v>53</v>
      </c>
      <c r="D768" s="1" t="s">
        <v>60</v>
      </c>
      <c r="E768" s="8">
        <v>12582</v>
      </c>
      <c r="F768" s="1" t="s">
        <v>81</v>
      </c>
      <c r="G768" s="1">
        <v>2020</v>
      </c>
      <c r="H768" s="1" t="str">
        <f>IF(tblFLOWOD[[#This Row],[nama_asal]]=tblFLOWOD[[#This Row],[nama_tujuan]],"keluar","isi")</f>
        <v>isi</v>
      </c>
      <c r="I768" s="1" t="str">
        <f>METADATA_SOURCES!$A$2</f>
        <v>SRC001</v>
      </c>
    </row>
    <row r="769" spans="1:9" x14ac:dyDescent="0.3">
      <c r="A769" s="1">
        <v>64</v>
      </c>
      <c r="B769" s="1" t="s">
        <v>64</v>
      </c>
      <c r="C769" s="1">
        <v>61</v>
      </c>
      <c r="D769" s="1" t="s">
        <v>61</v>
      </c>
      <c r="E769" s="8">
        <v>996</v>
      </c>
      <c r="F769" s="1" t="s">
        <v>81</v>
      </c>
      <c r="G769" s="1">
        <v>2020</v>
      </c>
      <c r="H769" s="1" t="str">
        <f>IF(tblFLOWOD[[#This Row],[nama_asal]]=tblFLOWOD[[#This Row],[nama_tujuan]],"keluar","isi")</f>
        <v>isi</v>
      </c>
      <c r="I769" s="1" t="str">
        <f>METADATA_SOURCES!$A$2</f>
        <v>SRC001</v>
      </c>
    </row>
    <row r="770" spans="1:9" x14ac:dyDescent="0.3">
      <c r="A770" s="1">
        <v>64</v>
      </c>
      <c r="B770" s="1" t="s">
        <v>64</v>
      </c>
      <c r="C770" s="1">
        <v>62</v>
      </c>
      <c r="D770" s="1" t="s">
        <v>62</v>
      </c>
      <c r="E770" s="8">
        <v>1711</v>
      </c>
      <c r="F770" s="1" t="s">
        <v>81</v>
      </c>
      <c r="G770" s="1">
        <v>2020</v>
      </c>
      <c r="H770" s="1" t="str">
        <f>IF(tblFLOWOD[[#This Row],[nama_asal]]=tblFLOWOD[[#This Row],[nama_tujuan]],"keluar","isi")</f>
        <v>isi</v>
      </c>
      <c r="I770" s="1" t="str">
        <f>METADATA_SOURCES!$A$2</f>
        <v>SRC001</v>
      </c>
    </row>
    <row r="771" spans="1:9" x14ac:dyDescent="0.3">
      <c r="A771" s="1">
        <v>64</v>
      </c>
      <c r="B771" s="1" t="s">
        <v>64</v>
      </c>
      <c r="C771" s="1">
        <v>63</v>
      </c>
      <c r="D771" s="1" t="s">
        <v>63</v>
      </c>
      <c r="E771" s="8">
        <v>9904</v>
      </c>
      <c r="F771" s="1" t="s">
        <v>81</v>
      </c>
      <c r="G771" s="1">
        <v>2020</v>
      </c>
      <c r="H771" s="1" t="str">
        <f>IF(tblFLOWOD[[#This Row],[nama_asal]]=tblFLOWOD[[#This Row],[nama_tujuan]],"keluar","isi")</f>
        <v>isi</v>
      </c>
      <c r="I771" s="1" t="str">
        <f>METADATA_SOURCES!$A$2</f>
        <v>SRC001</v>
      </c>
    </row>
    <row r="772" spans="1:9" x14ac:dyDescent="0.3">
      <c r="A772" s="1">
        <v>64</v>
      </c>
      <c r="B772" s="1" t="s">
        <v>64</v>
      </c>
      <c r="C772" s="1">
        <v>64</v>
      </c>
      <c r="D772" s="1" t="s">
        <v>64</v>
      </c>
      <c r="E772" s="8">
        <v>3439921</v>
      </c>
      <c r="F772" s="1" t="s">
        <v>81</v>
      </c>
      <c r="G772" s="1">
        <v>2020</v>
      </c>
      <c r="H772" s="1" t="str">
        <f>IF(tblFLOWOD[[#This Row],[nama_asal]]=tblFLOWOD[[#This Row],[nama_tujuan]],"keluar","isi")</f>
        <v>keluar</v>
      </c>
      <c r="I772" s="1" t="str">
        <f>METADATA_SOURCES!$A$2</f>
        <v>SRC001</v>
      </c>
    </row>
    <row r="773" spans="1:9" x14ac:dyDescent="0.3">
      <c r="A773" s="1">
        <v>64</v>
      </c>
      <c r="B773" s="1" t="s">
        <v>64</v>
      </c>
      <c r="C773" s="1">
        <v>65</v>
      </c>
      <c r="D773" s="1" t="s">
        <v>65</v>
      </c>
      <c r="E773" s="8">
        <v>4034</v>
      </c>
      <c r="F773" s="1" t="s">
        <v>81</v>
      </c>
      <c r="G773" s="1">
        <v>2020</v>
      </c>
      <c r="H773" s="1" t="str">
        <f>IF(tblFLOWOD[[#This Row],[nama_asal]]=tblFLOWOD[[#This Row],[nama_tujuan]],"keluar","isi")</f>
        <v>isi</v>
      </c>
      <c r="I773" s="1" t="str">
        <f>METADATA_SOURCES!$A$2</f>
        <v>SRC001</v>
      </c>
    </row>
    <row r="774" spans="1:9" x14ac:dyDescent="0.3">
      <c r="A774" s="1">
        <v>64</v>
      </c>
      <c r="B774" s="1" t="s">
        <v>64</v>
      </c>
      <c r="C774" s="1">
        <v>71</v>
      </c>
      <c r="D774" s="1" t="s">
        <v>66</v>
      </c>
      <c r="E774" s="8">
        <v>813</v>
      </c>
      <c r="F774" s="1" t="s">
        <v>81</v>
      </c>
      <c r="G774" s="1">
        <v>2020</v>
      </c>
      <c r="H774" s="1" t="str">
        <f>IF(tblFLOWOD[[#This Row],[nama_asal]]=tblFLOWOD[[#This Row],[nama_tujuan]],"keluar","isi")</f>
        <v>isi</v>
      </c>
      <c r="I774" s="1" t="str">
        <f>METADATA_SOURCES!$A$2</f>
        <v>SRC001</v>
      </c>
    </row>
    <row r="775" spans="1:9" x14ac:dyDescent="0.3">
      <c r="A775" s="1">
        <v>64</v>
      </c>
      <c r="B775" s="1" t="s">
        <v>64</v>
      </c>
      <c r="C775" s="1">
        <v>72</v>
      </c>
      <c r="D775" s="1" t="s">
        <v>67</v>
      </c>
      <c r="E775" s="8">
        <v>3228</v>
      </c>
      <c r="F775" s="1" t="s">
        <v>81</v>
      </c>
      <c r="G775" s="1">
        <v>2020</v>
      </c>
      <c r="H775" s="1" t="str">
        <f>IF(tblFLOWOD[[#This Row],[nama_asal]]=tblFLOWOD[[#This Row],[nama_tujuan]],"keluar","isi")</f>
        <v>isi</v>
      </c>
      <c r="I775" s="1" t="str">
        <f>METADATA_SOURCES!$A$2</f>
        <v>SRC001</v>
      </c>
    </row>
    <row r="776" spans="1:9" x14ac:dyDescent="0.3">
      <c r="A776" s="1">
        <v>64</v>
      </c>
      <c r="B776" s="1" t="s">
        <v>64</v>
      </c>
      <c r="C776" s="1">
        <v>73</v>
      </c>
      <c r="D776" s="1" t="s">
        <v>68</v>
      </c>
      <c r="E776" s="8">
        <v>25914</v>
      </c>
      <c r="F776" s="1" t="s">
        <v>81</v>
      </c>
      <c r="G776" s="1">
        <v>2020</v>
      </c>
      <c r="H776" s="1" t="str">
        <f>IF(tblFLOWOD[[#This Row],[nama_asal]]=tblFLOWOD[[#This Row],[nama_tujuan]],"keluar","isi")</f>
        <v>isi</v>
      </c>
      <c r="I776" s="1" t="str">
        <f>METADATA_SOURCES!$A$2</f>
        <v>SRC001</v>
      </c>
    </row>
    <row r="777" spans="1:9" x14ac:dyDescent="0.3">
      <c r="A777" s="1">
        <v>64</v>
      </c>
      <c r="B777" s="1" t="s">
        <v>64</v>
      </c>
      <c r="C777" s="1">
        <v>74</v>
      </c>
      <c r="D777" s="1" t="s">
        <v>69</v>
      </c>
      <c r="E777" s="8">
        <v>3651</v>
      </c>
      <c r="F777" s="1" t="s">
        <v>81</v>
      </c>
      <c r="G777" s="1">
        <v>2020</v>
      </c>
      <c r="H777" s="1" t="str">
        <f>IF(tblFLOWOD[[#This Row],[nama_asal]]=tblFLOWOD[[#This Row],[nama_tujuan]],"keluar","isi")</f>
        <v>isi</v>
      </c>
      <c r="I777" s="1" t="str">
        <f>METADATA_SOURCES!$A$2</f>
        <v>SRC001</v>
      </c>
    </row>
    <row r="778" spans="1:9" x14ac:dyDescent="0.3">
      <c r="A778" s="1">
        <v>64</v>
      </c>
      <c r="B778" s="1" t="s">
        <v>64</v>
      </c>
      <c r="C778" s="1">
        <v>75</v>
      </c>
      <c r="D778" s="1" t="s">
        <v>70</v>
      </c>
      <c r="E778" s="8">
        <v>305</v>
      </c>
      <c r="F778" s="1" t="s">
        <v>81</v>
      </c>
      <c r="G778" s="1">
        <v>2020</v>
      </c>
      <c r="H778" s="1" t="str">
        <f>IF(tblFLOWOD[[#This Row],[nama_asal]]=tblFLOWOD[[#This Row],[nama_tujuan]],"keluar","isi")</f>
        <v>isi</v>
      </c>
      <c r="I778" s="1" t="str">
        <f>METADATA_SOURCES!$A$2</f>
        <v>SRC001</v>
      </c>
    </row>
    <row r="779" spans="1:9" x14ac:dyDescent="0.3">
      <c r="A779" s="1">
        <v>64</v>
      </c>
      <c r="B779" s="1" t="s">
        <v>64</v>
      </c>
      <c r="C779" s="1">
        <v>76</v>
      </c>
      <c r="D779" s="1" t="s">
        <v>71</v>
      </c>
      <c r="E779" s="8">
        <v>4442</v>
      </c>
      <c r="F779" s="1" t="s">
        <v>81</v>
      </c>
      <c r="G779" s="1">
        <v>2020</v>
      </c>
      <c r="H779" s="1" t="str">
        <f>IF(tblFLOWOD[[#This Row],[nama_asal]]=tblFLOWOD[[#This Row],[nama_tujuan]],"keluar","isi")</f>
        <v>isi</v>
      </c>
      <c r="I779" s="1" t="str">
        <f>METADATA_SOURCES!$A$2</f>
        <v>SRC001</v>
      </c>
    </row>
    <row r="780" spans="1:9" x14ac:dyDescent="0.3">
      <c r="A780" s="1">
        <v>64</v>
      </c>
      <c r="B780" s="1" t="s">
        <v>64</v>
      </c>
      <c r="C780" s="1">
        <v>81</v>
      </c>
      <c r="D780" s="1" t="s">
        <v>72</v>
      </c>
      <c r="E780" s="8">
        <v>139</v>
      </c>
      <c r="F780" s="1" t="s">
        <v>81</v>
      </c>
      <c r="G780" s="1">
        <v>2020</v>
      </c>
      <c r="H780" s="1" t="str">
        <f>IF(tblFLOWOD[[#This Row],[nama_asal]]=tblFLOWOD[[#This Row],[nama_tujuan]],"keluar","isi")</f>
        <v>isi</v>
      </c>
      <c r="I780" s="1" t="str">
        <f>METADATA_SOURCES!$A$2</f>
        <v>SRC001</v>
      </c>
    </row>
    <row r="781" spans="1:9" x14ac:dyDescent="0.3">
      <c r="A781" s="1">
        <v>64</v>
      </c>
      <c r="B781" s="1" t="s">
        <v>64</v>
      </c>
      <c r="C781" s="1">
        <v>82</v>
      </c>
      <c r="D781" s="1" t="s">
        <v>73</v>
      </c>
      <c r="E781" s="8">
        <v>42</v>
      </c>
      <c r="F781" s="1" t="s">
        <v>81</v>
      </c>
      <c r="G781" s="1">
        <v>2020</v>
      </c>
      <c r="H781" s="1" t="str">
        <f>IF(tblFLOWOD[[#This Row],[nama_asal]]=tblFLOWOD[[#This Row],[nama_tujuan]],"keluar","isi")</f>
        <v>isi</v>
      </c>
      <c r="I781" s="1" t="str">
        <f>METADATA_SOURCES!$A$2</f>
        <v>SRC001</v>
      </c>
    </row>
    <row r="782" spans="1:9" x14ac:dyDescent="0.3">
      <c r="A782" s="1">
        <v>64</v>
      </c>
      <c r="B782" s="1" t="s">
        <v>64</v>
      </c>
      <c r="C782" s="1">
        <v>91</v>
      </c>
      <c r="D782" s="1" t="s">
        <v>74</v>
      </c>
      <c r="E782" s="8">
        <v>213</v>
      </c>
      <c r="F782" s="1" t="s">
        <v>81</v>
      </c>
      <c r="G782" s="1">
        <v>2020</v>
      </c>
      <c r="H782" s="1" t="str">
        <f>IF(tblFLOWOD[[#This Row],[nama_asal]]=tblFLOWOD[[#This Row],[nama_tujuan]],"keluar","isi")</f>
        <v>isi</v>
      </c>
      <c r="I782" s="1" t="str">
        <f>METADATA_SOURCES!$A$2</f>
        <v>SRC001</v>
      </c>
    </row>
    <row r="783" spans="1:9" x14ac:dyDescent="0.3">
      <c r="A783" s="1">
        <v>64</v>
      </c>
      <c r="B783" s="1" t="s">
        <v>64</v>
      </c>
      <c r="C783" s="1">
        <v>94</v>
      </c>
      <c r="D783" s="1" t="s">
        <v>75</v>
      </c>
      <c r="E783" s="8">
        <v>106</v>
      </c>
      <c r="F783" s="1" t="s">
        <v>81</v>
      </c>
      <c r="G783" s="1">
        <v>2020</v>
      </c>
      <c r="H783" s="1" t="str">
        <f>IF(tblFLOWOD[[#This Row],[nama_asal]]=tblFLOWOD[[#This Row],[nama_tujuan]],"keluar","isi")</f>
        <v>isi</v>
      </c>
      <c r="I783" s="1" t="str">
        <f>METADATA_SOURCES!$A$2</f>
        <v>SRC001</v>
      </c>
    </row>
    <row r="784" spans="1:9" x14ac:dyDescent="0.3">
      <c r="A784" s="1">
        <v>65</v>
      </c>
      <c r="B784" s="1" t="s">
        <v>65</v>
      </c>
      <c r="C784" s="1">
        <v>11</v>
      </c>
      <c r="D784" s="1" t="s">
        <v>42</v>
      </c>
      <c r="E784" s="8">
        <v>0</v>
      </c>
      <c r="F784" s="1" t="s">
        <v>81</v>
      </c>
      <c r="G784" s="1">
        <v>2020</v>
      </c>
      <c r="H784" s="1" t="str">
        <f>IF(tblFLOWOD[[#This Row],[nama_asal]]=tblFLOWOD[[#This Row],[nama_tujuan]],"keluar","isi")</f>
        <v>isi</v>
      </c>
      <c r="I784" s="1" t="str">
        <f>METADATA_SOURCES!$A$2</f>
        <v>SRC001</v>
      </c>
    </row>
    <row r="785" spans="1:9" x14ac:dyDescent="0.3">
      <c r="A785" s="1">
        <v>65</v>
      </c>
      <c r="B785" s="1" t="s">
        <v>65</v>
      </c>
      <c r="C785" s="1">
        <v>12</v>
      </c>
      <c r="D785" s="1" t="s">
        <v>43</v>
      </c>
      <c r="E785" s="8">
        <v>0</v>
      </c>
      <c r="F785" s="1" t="s">
        <v>81</v>
      </c>
      <c r="G785" s="1">
        <v>2020</v>
      </c>
      <c r="H785" s="1" t="str">
        <f>IF(tblFLOWOD[[#This Row],[nama_asal]]=tblFLOWOD[[#This Row],[nama_tujuan]],"keluar","isi")</f>
        <v>isi</v>
      </c>
      <c r="I785" s="1" t="str">
        <f>METADATA_SOURCES!$A$2</f>
        <v>SRC001</v>
      </c>
    </row>
    <row r="786" spans="1:9" x14ac:dyDescent="0.3">
      <c r="A786" s="1">
        <v>65</v>
      </c>
      <c r="B786" s="1" t="s">
        <v>65</v>
      </c>
      <c r="C786" s="1">
        <v>13</v>
      </c>
      <c r="D786" s="1" t="s">
        <v>44</v>
      </c>
      <c r="E786" s="8">
        <v>0</v>
      </c>
      <c r="F786" s="1" t="s">
        <v>81</v>
      </c>
      <c r="G786" s="1">
        <v>2020</v>
      </c>
      <c r="H786" s="1" t="str">
        <f>IF(tblFLOWOD[[#This Row],[nama_asal]]=tblFLOWOD[[#This Row],[nama_tujuan]],"keluar","isi")</f>
        <v>isi</v>
      </c>
      <c r="I786" s="1" t="str">
        <f>METADATA_SOURCES!$A$2</f>
        <v>SRC001</v>
      </c>
    </row>
    <row r="787" spans="1:9" x14ac:dyDescent="0.3">
      <c r="A787" s="1">
        <v>65</v>
      </c>
      <c r="B787" s="1" t="s">
        <v>65</v>
      </c>
      <c r="C787" s="1">
        <v>14</v>
      </c>
      <c r="D787" s="1" t="s">
        <v>45</v>
      </c>
      <c r="E787" s="8">
        <v>0</v>
      </c>
      <c r="F787" s="1" t="s">
        <v>81</v>
      </c>
      <c r="G787" s="1">
        <v>2020</v>
      </c>
      <c r="H787" s="1" t="str">
        <f>IF(tblFLOWOD[[#This Row],[nama_asal]]=tblFLOWOD[[#This Row],[nama_tujuan]],"keluar","isi")</f>
        <v>isi</v>
      </c>
      <c r="I787" s="1" t="str">
        <f>METADATA_SOURCES!$A$2</f>
        <v>SRC001</v>
      </c>
    </row>
    <row r="788" spans="1:9" x14ac:dyDescent="0.3">
      <c r="A788" s="1">
        <v>65</v>
      </c>
      <c r="B788" s="1" t="s">
        <v>65</v>
      </c>
      <c r="C788" s="1">
        <v>15</v>
      </c>
      <c r="D788" s="1" t="s">
        <v>46</v>
      </c>
      <c r="E788" s="8">
        <v>0</v>
      </c>
      <c r="F788" s="1" t="s">
        <v>81</v>
      </c>
      <c r="G788" s="1">
        <v>2020</v>
      </c>
      <c r="H788" s="1" t="str">
        <f>IF(tblFLOWOD[[#This Row],[nama_asal]]=tblFLOWOD[[#This Row],[nama_tujuan]],"keluar","isi")</f>
        <v>isi</v>
      </c>
      <c r="I788" s="1" t="str">
        <f>METADATA_SOURCES!$A$2</f>
        <v>SRC001</v>
      </c>
    </row>
    <row r="789" spans="1:9" x14ac:dyDescent="0.3">
      <c r="A789" s="1">
        <v>65</v>
      </c>
      <c r="B789" s="1" t="s">
        <v>65</v>
      </c>
      <c r="C789" s="1">
        <v>16</v>
      </c>
      <c r="D789" s="1" t="s">
        <v>47</v>
      </c>
      <c r="E789" s="8">
        <v>0</v>
      </c>
      <c r="F789" s="1" t="s">
        <v>81</v>
      </c>
      <c r="G789" s="1">
        <v>2020</v>
      </c>
      <c r="H789" s="1" t="str">
        <f>IF(tblFLOWOD[[#This Row],[nama_asal]]=tblFLOWOD[[#This Row],[nama_tujuan]],"keluar","isi")</f>
        <v>isi</v>
      </c>
      <c r="I789" s="1" t="str">
        <f>METADATA_SOURCES!$A$2</f>
        <v>SRC001</v>
      </c>
    </row>
    <row r="790" spans="1:9" x14ac:dyDescent="0.3">
      <c r="A790" s="1">
        <v>65</v>
      </c>
      <c r="B790" s="1" t="s">
        <v>65</v>
      </c>
      <c r="C790" s="1">
        <v>17</v>
      </c>
      <c r="D790" s="1" t="s">
        <v>48</v>
      </c>
      <c r="E790" s="8">
        <v>0</v>
      </c>
      <c r="F790" s="1" t="s">
        <v>81</v>
      </c>
      <c r="G790" s="1">
        <v>2020</v>
      </c>
      <c r="H790" s="1" t="str">
        <f>IF(tblFLOWOD[[#This Row],[nama_asal]]=tblFLOWOD[[#This Row],[nama_tujuan]],"keluar","isi")</f>
        <v>isi</v>
      </c>
      <c r="I790" s="1" t="str">
        <f>METADATA_SOURCES!$A$2</f>
        <v>SRC001</v>
      </c>
    </row>
    <row r="791" spans="1:9" x14ac:dyDescent="0.3">
      <c r="A791" s="1">
        <v>65</v>
      </c>
      <c r="B791" s="1" t="s">
        <v>65</v>
      </c>
      <c r="C791" s="1">
        <v>18</v>
      </c>
      <c r="D791" s="1" t="s">
        <v>49</v>
      </c>
      <c r="E791" s="8">
        <v>0</v>
      </c>
      <c r="F791" s="1" t="s">
        <v>81</v>
      </c>
      <c r="G791" s="1">
        <v>2020</v>
      </c>
      <c r="H791" s="1" t="str">
        <f>IF(tblFLOWOD[[#This Row],[nama_asal]]=tblFLOWOD[[#This Row],[nama_tujuan]],"keluar","isi")</f>
        <v>isi</v>
      </c>
      <c r="I791" s="1" t="str">
        <f>METADATA_SOURCES!$A$2</f>
        <v>SRC001</v>
      </c>
    </row>
    <row r="792" spans="1:9" x14ac:dyDescent="0.3">
      <c r="A792" s="1">
        <v>65</v>
      </c>
      <c r="B792" s="1" t="s">
        <v>65</v>
      </c>
      <c r="C792" s="1">
        <v>19</v>
      </c>
      <c r="D792" s="1" t="s">
        <v>50</v>
      </c>
      <c r="E792" s="8">
        <v>0</v>
      </c>
      <c r="F792" s="1" t="s">
        <v>81</v>
      </c>
      <c r="G792" s="1">
        <v>2020</v>
      </c>
      <c r="H792" s="1" t="str">
        <f>IF(tblFLOWOD[[#This Row],[nama_asal]]=tblFLOWOD[[#This Row],[nama_tujuan]],"keluar","isi")</f>
        <v>isi</v>
      </c>
      <c r="I792" s="1" t="str">
        <f>METADATA_SOURCES!$A$2</f>
        <v>SRC001</v>
      </c>
    </row>
    <row r="793" spans="1:9" x14ac:dyDescent="0.3">
      <c r="A793" s="1">
        <v>65</v>
      </c>
      <c r="B793" s="1" t="s">
        <v>65</v>
      </c>
      <c r="C793" s="1">
        <v>21</v>
      </c>
      <c r="D793" s="1" t="s">
        <v>51</v>
      </c>
      <c r="E793" s="8">
        <v>0</v>
      </c>
      <c r="F793" s="1" t="s">
        <v>81</v>
      </c>
      <c r="G793" s="1">
        <v>2020</v>
      </c>
      <c r="H793" s="1" t="str">
        <f>IF(tblFLOWOD[[#This Row],[nama_asal]]=tblFLOWOD[[#This Row],[nama_tujuan]],"keluar","isi")</f>
        <v>isi</v>
      </c>
      <c r="I793" s="1" t="str">
        <f>METADATA_SOURCES!$A$2</f>
        <v>SRC001</v>
      </c>
    </row>
    <row r="794" spans="1:9" x14ac:dyDescent="0.3">
      <c r="A794" s="1">
        <v>65</v>
      </c>
      <c r="B794" s="1" t="s">
        <v>65</v>
      </c>
      <c r="C794" s="1">
        <v>31</v>
      </c>
      <c r="D794" s="1" t="s">
        <v>52</v>
      </c>
      <c r="E794" s="8">
        <v>0</v>
      </c>
      <c r="F794" s="1" t="s">
        <v>81</v>
      </c>
      <c r="G794" s="1">
        <v>2020</v>
      </c>
      <c r="H794" s="1" t="str">
        <f>IF(tblFLOWOD[[#This Row],[nama_asal]]=tblFLOWOD[[#This Row],[nama_tujuan]],"keluar","isi")</f>
        <v>isi</v>
      </c>
      <c r="I794" s="1" t="str">
        <f>METADATA_SOURCES!$A$2</f>
        <v>SRC001</v>
      </c>
    </row>
    <row r="795" spans="1:9" x14ac:dyDescent="0.3">
      <c r="A795" s="1">
        <v>65</v>
      </c>
      <c r="B795" s="1" t="s">
        <v>65</v>
      </c>
      <c r="C795" s="1">
        <v>32</v>
      </c>
      <c r="D795" s="1" t="s">
        <v>53</v>
      </c>
      <c r="E795" s="8">
        <v>0</v>
      </c>
      <c r="F795" s="1" t="s">
        <v>81</v>
      </c>
      <c r="G795" s="1">
        <v>2020</v>
      </c>
      <c r="H795" s="1" t="str">
        <f>IF(tblFLOWOD[[#This Row],[nama_asal]]=tblFLOWOD[[#This Row],[nama_tujuan]],"keluar","isi")</f>
        <v>isi</v>
      </c>
      <c r="I795" s="1" t="str">
        <f>METADATA_SOURCES!$A$2</f>
        <v>SRC001</v>
      </c>
    </row>
    <row r="796" spans="1:9" x14ac:dyDescent="0.3">
      <c r="A796" s="1">
        <v>65</v>
      </c>
      <c r="B796" s="1" t="s">
        <v>65</v>
      </c>
      <c r="C796" s="1">
        <v>33</v>
      </c>
      <c r="D796" s="1" t="s">
        <v>54</v>
      </c>
      <c r="E796" s="8">
        <v>0</v>
      </c>
      <c r="F796" s="1" t="s">
        <v>81</v>
      </c>
      <c r="G796" s="1">
        <v>2020</v>
      </c>
      <c r="H796" s="1" t="str">
        <f>IF(tblFLOWOD[[#This Row],[nama_asal]]=tblFLOWOD[[#This Row],[nama_tujuan]],"keluar","isi")</f>
        <v>isi</v>
      </c>
      <c r="I796" s="1" t="str">
        <f>METADATA_SOURCES!$A$2</f>
        <v>SRC001</v>
      </c>
    </row>
    <row r="797" spans="1:9" x14ac:dyDescent="0.3">
      <c r="A797" s="1">
        <v>65</v>
      </c>
      <c r="B797" s="1" t="s">
        <v>65</v>
      </c>
      <c r="C797" s="1">
        <v>34</v>
      </c>
      <c r="D797" s="1" t="s">
        <v>55</v>
      </c>
      <c r="E797" s="8">
        <v>0</v>
      </c>
      <c r="F797" s="1" t="s">
        <v>81</v>
      </c>
      <c r="G797" s="1">
        <v>2020</v>
      </c>
      <c r="H797" s="1" t="str">
        <f>IF(tblFLOWOD[[#This Row],[nama_asal]]=tblFLOWOD[[#This Row],[nama_tujuan]],"keluar","isi")</f>
        <v>isi</v>
      </c>
      <c r="I797" s="1" t="str">
        <f>METADATA_SOURCES!$A$2</f>
        <v>SRC001</v>
      </c>
    </row>
    <row r="798" spans="1:9" x14ac:dyDescent="0.3">
      <c r="A798" s="1">
        <v>65</v>
      </c>
      <c r="B798" s="1" t="s">
        <v>65</v>
      </c>
      <c r="C798" s="1">
        <v>35</v>
      </c>
      <c r="D798" s="1" t="s">
        <v>56</v>
      </c>
      <c r="E798" s="8">
        <v>0</v>
      </c>
      <c r="F798" s="1" t="s">
        <v>81</v>
      </c>
      <c r="G798" s="1">
        <v>2020</v>
      </c>
      <c r="H798" s="1" t="str">
        <f>IF(tblFLOWOD[[#This Row],[nama_asal]]=tblFLOWOD[[#This Row],[nama_tujuan]],"keluar","isi")</f>
        <v>isi</v>
      </c>
      <c r="I798" s="1" t="str">
        <f>METADATA_SOURCES!$A$2</f>
        <v>SRC001</v>
      </c>
    </row>
    <row r="799" spans="1:9" x14ac:dyDescent="0.3">
      <c r="A799" s="1">
        <v>65</v>
      </c>
      <c r="B799" s="1" t="s">
        <v>65</v>
      </c>
      <c r="C799" s="1">
        <v>36</v>
      </c>
      <c r="D799" s="1" t="s">
        <v>57</v>
      </c>
      <c r="E799" s="8">
        <v>0</v>
      </c>
      <c r="F799" s="1" t="s">
        <v>81</v>
      </c>
      <c r="G799" s="1">
        <v>2020</v>
      </c>
      <c r="H799" s="1" t="str">
        <f>IF(tblFLOWOD[[#This Row],[nama_asal]]=tblFLOWOD[[#This Row],[nama_tujuan]],"keluar","isi")</f>
        <v>isi</v>
      </c>
      <c r="I799" s="1" t="str">
        <f>METADATA_SOURCES!$A$2</f>
        <v>SRC001</v>
      </c>
    </row>
    <row r="800" spans="1:9" x14ac:dyDescent="0.3">
      <c r="A800" s="1">
        <v>65</v>
      </c>
      <c r="B800" s="1" t="s">
        <v>65</v>
      </c>
      <c r="C800" s="1">
        <v>51</v>
      </c>
      <c r="D800" s="1" t="s">
        <v>58</v>
      </c>
      <c r="E800" s="8">
        <v>0</v>
      </c>
      <c r="F800" s="1" t="s">
        <v>81</v>
      </c>
      <c r="G800" s="1">
        <v>2020</v>
      </c>
      <c r="H800" s="1" t="str">
        <f>IF(tblFLOWOD[[#This Row],[nama_asal]]=tblFLOWOD[[#This Row],[nama_tujuan]],"keluar","isi")</f>
        <v>isi</v>
      </c>
      <c r="I800" s="1" t="str">
        <f>METADATA_SOURCES!$A$2</f>
        <v>SRC001</v>
      </c>
    </row>
    <row r="801" spans="1:9" x14ac:dyDescent="0.3">
      <c r="A801" s="1">
        <v>65</v>
      </c>
      <c r="B801" s="1" t="s">
        <v>65</v>
      </c>
      <c r="C801" s="1">
        <v>52</v>
      </c>
      <c r="D801" s="1" t="s">
        <v>59</v>
      </c>
      <c r="E801" s="8">
        <v>0</v>
      </c>
      <c r="F801" s="1" t="s">
        <v>81</v>
      </c>
      <c r="G801" s="1">
        <v>2020</v>
      </c>
      <c r="H801" s="1" t="str">
        <f>IF(tblFLOWOD[[#This Row],[nama_asal]]=tblFLOWOD[[#This Row],[nama_tujuan]],"keluar","isi")</f>
        <v>isi</v>
      </c>
      <c r="I801" s="1" t="str">
        <f>METADATA_SOURCES!$A$2</f>
        <v>SRC001</v>
      </c>
    </row>
    <row r="802" spans="1:9" x14ac:dyDescent="0.3">
      <c r="A802" s="1">
        <v>65</v>
      </c>
      <c r="B802" s="1" t="s">
        <v>65</v>
      </c>
      <c r="C802" s="1">
        <v>53</v>
      </c>
      <c r="D802" s="1" t="s">
        <v>60</v>
      </c>
      <c r="E802" s="8">
        <v>0</v>
      </c>
      <c r="F802" s="1" t="s">
        <v>81</v>
      </c>
      <c r="G802" s="1">
        <v>2020</v>
      </c>
      <c r="H802" s="1" t="str">
        <f>IF(tblFLOWOD[[#This Row],[nama_asal]]=tblFLOWOD[[#This Row],[nama_tujuan]],"keluar","isi")</f>
        <v>isi</v>
      </c>
      <c r="I802" s="1" t="str">
        <f>METADATA_SOURCES!$A$2</f>
        <v>SRC001</v>
      </c>
    </row>
    <row r="803" spans="1:9" x14ac:dyDescent="0.3">
      <c r="A803" s="1">
        <v>65</v>
      </c>
      <c r="B803" s="1" t="s">
        <v>65</v>
      </c>
      <c r="C803" s="1">
        <v>61</v>
      </c>
      <c r="D803" s="1" t="s">
        <v>61</v>
      </c>
      <c r="E803" s="8">
        <v>0</v>
      </c>
      <c r="F803" s="1" t="s">
        <v>81</v>
      </c>
      <c r="G803" s="1">
        <v>2020</v>
      </c>
      <c r="H803" s="1" t="str">
        <f>IF(tblFLOWOD[[#This Row],[nama_asal]]=tblFLOWOD[[#This Row],[nama_tujuan]],"keluar","isi")</f>
        <v>isi</v>
      </c>
      <c r="I803" s="1" t="str">
        <f>METADATA_SOURCES!$A$2</f>
        <v>SRC001</v>
      </c>
    </row>
    <row r="804" spans="1:9" x14ac:dyDescent="0.3">
      <c r="A804" s="1">
        <v>65</v>
      </c>
      <c r="B804" s="1" t="s">
        <v>65</v>
      </c>
      <c r="C804" s="1">
        <v>62</v>
      </c>
      <c r="D804" s="1" t="s">
        <v>62</v>
      </c>
      <c r="E804" s="8">
        <v>0</v>
      </c>
      <c r="F804" s="1" t="s">
        <v>81</v>
      </c>
      <c r="G804" s="1">
        <v>2020</v>
      </c>
      <c r="H804" s="1" t="str">
        <f>IF(tblFLOWOD[[#This Row],[nama_asal]]=tblFLOWOD[[#This Row],[nama_tujuan]],"keluar","isi")</f>
        <v>isi</v>
      </c>
      <c r="I804" s="1" t="str">
        <f>METADATA_SOURCES!$A$2</f>
        <v>SRC001</v>
      </c>
    </row>
    <row r="805" spans="1:9" x14ac:dyDescent="0.3">
      <c r="A805" s="1">
        <v>65</v>
      </c>
      <c r="B805" s="1" t="s">
        <v>65</v>
      </c>
      <c r="C805" s="1">
        <v>63</v>
      </c>
      <c r="D805" s="1" t="s">
        <v>63</v>
      </c>
      <c r="E805" s="8">
        <v>0</v>
      </c>
      <c r="F805" s="1" t="s">
        <v>81</v>
      </c>
      <c r="G805" s="1">
        <v>2020</v>
      </c>
      <c r="H805" s="1" t="str">
        <f>IF(tblFLOWOD[[#This Row],[nama_asal]]=tblFLOWOD[[#This Row],[nama_tujuan]],"keluar","isi")</f>
        <v>isi</v>
      </c>
      <c r="I805" s="1" t="str">
        <f>METADATA_SOURCES!$A$2</f>
        <v>SRC001</v>
      </c>
    </row>
    <row r="806" spans="1:9" x14ac:dyDescent="0.3">
      <c r="A806" s="1">
        <v>65</v>
      </c>
      <c r="B806" s="1" t="s">
        <v>65</v>
      </c>
      <c r="C806" s="1">
        <v>64</v>
      </c>
      <c r="D806" s="1" t="s">
        <v>64</v>
      </c>
      <c r="E806" s="8">
        <v>0</v>
      </c>
      <c r="F806" s="1" t="s">
        <v>81</v>
      </c>
      <c r="G806" s="1">
        <v>2020</v>
      </c>
      <c r="H806" s="1" t="str">
        <f>IF(tblFLOWOD[[#This Row],[nama_asal]]=tblFLOWOD[[#This Row],[nama_tujuan]],"keluar","isi")</f>
        <v>isi</v>
      </c>
      <c r="I806" s="1" t="str">
        <f>METADATA_SOURCES!$A$2</f>
        <v>SRC001</v>
      </c>
    </row>
    <row r="807" spans="1:9" x14ac:dyDescent="0.3">
      <c r="A807" s="1">
        <v>65</v>
      </c>
      <c r="B807" s="1" t="s">
        <v>65</v>
      </c>
      <c r="C807" s="1">
        <v>65</v>
      </c>
      <c r="D807" s="1" t="s">
        <v>65</v>
      </c>
      <c r="E807" s="8">
        <v>0</v>
      </c>
      <c r="F807" s="1" t="s">
        <v>81</v>
      </c>
      <c r="G807" s="1">
        <v>2020</v>
      </c>
      <c r="H807" s="1" t="str">
        <f>IF(tblFLOWOD[[#This Row],[nama_asal]]=tblFLOWOD[[#This Row],[nama_tujuan]],"keluar","isi")</f>
        <v>keluar</v>
      </c>
      <c r="I807" s="1" t="str">
        <f>METADATA_SOURCES!$A$2</f>
        <v>SRC001</v>
      </c>
    </row>
    <row r="808" spans="1:9" x14ac:dyDescent="0.3">
      <c r="A808" s="1">
        <v>65</v>
      </c>
      <c r="B808" s="1" t="s">
        <v>65</v>
      </c>
      <c r="C808" s="1">
        <v>71</v>
      </c>
      <c r="D808" s="1" t="s">
        <v>66</v>
      </c>
      <c r="E808" s="8">
        <v>0</v>
      </c>
      <c r="F808" s="1" t="s">
        <v>81</v>
      </c>
      <c r="G808" s="1">
        <v>2020</v>
      </c>
      <c r="H808" s="1" t="str">
        <f>IF(tblFLOWOD[[#This Row],[nama_asal]]=tblFLOWOD[[#This Row],[nama_tujuan]],"keluar","isi")</f>
        <v>isi</v>
      </c>
      <c r="I808" s="1" t="str">
        <f>METADATA_SOURCES!$A$2</f>
        <v>SRC001</v>
      </c>
    </row>
    <row r="809" spans="1:9" x14ac:dyDescent="0.3">
      <c r="A809" s="1">
        <v>65</v>
      </c>
      <c r="B809" s="1" t="s">
        <v>65</v>
      </c>
      <c r="C809" s="1">
        <v>72</v>
      </c>
      <c r="D809" s="1" t="s">
        <v>67</v>
      </c>
      <c r="E809" s="8">
        <v>0</v>
      </c>
      <c r="F809" s="1" t="s">
        <v>81</v>
      </c>
      <c r="G809" s="1">
        <v>2020</v>
      </c>
      <c r="H809" s="1" t="str">
        <f>IF(tblFLOWOD[[#This Row],[nama_asal]]=tblFLOWOD[[#This Row],[nama_tujuan]],"keluar","isi")</f>
        <v>isi</v>
      </c>
      <c r="I809" s="1" t="str">
        <f>METADATA_SOURCES!$A$2</f>
        <v>SRC001</v>
      </c>
    </row>
    <row r="810" spans="1:9" x14ac:dyDescent="0.3">
      <c r="A810" s="1">
        <v>65</v>
      </c>
      <c r="B810" s="1" t="s">
        <v>65</v>
      </c>
      <c r="C810" s="1">
        <v>73</v>
      </c>
      <c r="D810" s="1" t="s">
        <v>68</v>
      </c>
      <c r="E810" s="8">
        <v>0</v>
      </c>
      <c r="F810" s="1" t="s">
        <v>81</v>
      </c>
      <c r="G810" s="1">
        <v>2020</v>
      </c>
      <c r="H810" s="1" t="str">
        <f>IF(tblFLOWOD[[#This Row],[nama_asal]]=tblFLOWOD[[#This Row],[nama_tujuan]],"keluar","isi")</f>
        <v>isi</v>
      </c>
      <c r="I810" s="1" t="str">
        <f>METADATA_SOURCES!$A$2</f>
        <v>SRC001</v>
      </c>
    </row>
    <row r="811" spans="1:9" x14ac:dyDescent="0.3">
      <c r="A811" s="1">
        <v>65</v>
      </c>
      <c r="B811" s="1" t="s">
        <v>65</v>
      </c>
      <c r="C811" s="1">
        <v>74</v>
      </c>
      <c r="D811" s="1" t="s">
        <v>69</v>
      </c>
      <c r="E811" s="8">
        <v>0</v>
      </c>
      <c r="F811" s="1" t="s">
        <v>81</v>
      </c>
      <c r="G811" s="1">
        <v>2020</v>
      </c>
      <c r="H811" s="1" t="str">
        <f>IF(tblFLOWOD[[#This Row],[nama_asal]]=tblFLOWOD[[#This Row],[nama_tujuan]],"keluar","isi")</f>
        <v>isi</v>
      </c>
      <c r="I811" s="1" t="str">
        <f>METADATA_SOURCES!$A$2</f>
        <v>SRC001</v>
      </c>
    </row>
    <row r="812" spans="1:9" x14ac:dyDescent="0.3">
      <c r="A812" s="1">
        <v>65</v>
      </c>
      <c r="B812" s="1" t="s">
        <v>65</v>
      </c>
      <c r="C812" s="1">
        <v>75</v>
      </c>
      <c r="D812" s="1" t="s">
        <v>70</v>
      </c>
      <c r="E812" s="8">
        <v>0</v>
      </c>
      <c r="F812" s="1" t="s">
        <v>81</v>
      </c>
      <c r="G812" s="1">
        <v>2020</v>
      </c>
      <c r="H812" s="1" t="str">
        <f>IF(tblFLOWOD[[#This Row],[nama_asal]]=tblFLOWOD[[#This Row],[nama_tujuan]],"keluar","isi")</f>
        <v>isi</v>
      </c>
      <c r="I812" s="1" t="str">
        <f>METADATA_SOURCES!$A$2</f>
        <v>SRC001</v>
      </c>
    </row>
    <row r="813" spans="1:9" x14ac:dyDescent="0.3">
      <c r="A813" s="1">
        <v>65</v>
      </c>
      <c r="B813" s="1" t="s">
        <v>65</v>
      </c>
      <c r="C813" s="1">
        <v>76</v>
      </c>
      <c r="D813" s="1" t="s">
        <v>71</v>
      </c>
      <c r="E813" s="8">
        <v>0</v>
      </c>
      <c r="F813" s="1" t="s">
        <v>81</v>
      </c>
      <c r="G813" s="1">
        <v>2020</v>
      </c>
      <c r="H813" s="1" t="str">
        <f>IF(tblFLOWOD[[#This Row],[nama_asal]]=tblFLOWOD[[#This Row],[nama_tujuan]],"keluar","isi")</f>
        <v>isi</v>
      </c>
      <c r="I813" s="1" t="str">
        <f>METADATA_SOURCES!$A$2</f>
        <v>SRC001</v>
      </c>
    </row>
    <row r="814" spans="1:9" x14ac:dyDescent="0.3">
      <c r="A814" s="1">
        <v>65</v>
      </c>
      <c r="B814" s="1" t="s">
        <v>65</v>
      </c>
      <c r="C814" s="1">
        <v>81</v>
      </c>
      <c r="D814" s="1" t="s">
        <v>72</v>
      </c>
      <c r="E814" s="8">
        <v>0</v>
      </c>
      <c r="F814" s="1" t="s">
        <v>81</v>
      </c>
      <c r="G814" s="1">
        <v>2020</v>
      </c>
      <c r="H814" s="1" t="str">
        <f>IF(tblFLOWOD[[#This Row],[nama_asal]]=tblFLOWOD[[#This Row],[nama_tujuan]],"keluar","isi")</f>
        <v>isi</v>
      </c>
      <c r="I814" s="1" t="str">
        <f>METADATA_SOURCES!$A$2</f>
        <v>SRC001</v>
      </c>
    </row>
    <row r="815" spans="1:9" x14ac:dyDescent="0.3">
      <c r="A815" s="1">
        <v>65</v>
      </c>
      <c r="B815" s="1" t="s">
        <v>65</v>
      </c>
      <c r="C815" s="1">
        <v>82</v>
      </c>
      <c r="D815" s="1" t="s">
        <v>73</v>
      </c>
      <c r="E815" s="8">
        <v>0</v>
      </c>
      <c r="F815" s="1" t="s">
        <v>81</v>
      </c>
      <c r="G815" s="1">
        <v>2020</v>
      </c>
      <c r="H815" s="1" t="str">
        <f>IF(tblFLOWOD[[#This Row],[nama_asal]]=tblFLOWOD[[#This Row],[nama_tujuan]],"keluar","isi")</f>
        <v>isi</v>
      </c>
      <c r="I815" s="1" t="str">
        <f>METADATA_SOURCES!$A$2</f>
        <v>SRC001</v>
      </c>
    </row>
    <row r="816" spans="1:9" x14ac:dyDescent="0.3">
      <c r="A816" s="1">
        <v>65</v>
      </c>
      <c r="B816" s="1" t="s">
        <v>65</v>
      </c>
      <c r="C816" s="1">
        <v>91</v>
      </c>
      <c r="D816" s="1" t="s">
        <v>74</v>
      </c>
      <c r="E816" s="8">
        <v>0</v>
      </c>
      <c r="F816" s="1" t="s">
        <v>81</v>
      </c>
      <c r="G816" s="1">
        <v>2020</v>
      </c>
      <c r="H816" s="1" t="str">
        <f>IF(tblFLOWOD[[#This Row],[nama_asal]]=tblFLOWOD[[#This Row],[nama_tujuan]],"keluar","isi")</f>
        <v>isi</v>
      </c>
      <c r="I816" s="1" t="str">
        <f>METADATA_SOURCES!$A$2</f>
        <v>SRC001</v>
      </c>
    </row>
    <row r="817" spans="1:9" x14ac:dyDescent="0.3">
      <c r="A817" s="1">
        <v>65</v>
      </c>
      <c r="B817" s="1" t="s">
        <v>65</v>
      </c>
      <c r="C817" s="1">
        <v>94</v>
      </c>
      <c r="D817" s="1" t="s">
        <v>75</v>
      </c>
      <c r="E817" s="8">
        <v>0</v>
      </c>
      <c r="F817" s="1" t="s">
        <v>81</v>
      </c>
      <c r="G817" s="1">
        <v>2020</v>
      </c>
      <c r="H817" s="1" t="str">
        <f>IF(tblFLOWOD[[#This Row],[nama_asal]]=tblFLOWOD[[#This Row],[nama_tujuan]],"keluar","isi")</f>
        <v>isi</v>
      </c>
      <c r="I817" s="1" t="str">
        <f>METADATA_SOURCES!$A$2</f>
        <v>SRC001</v>
      </c>
    </row>
    <row r="818" spans="1:9" x14ac:dyDescent="0.3">
      <c r="A818" s="1">
        <v>71</v>
      </c>
      <c r="B818" s="1" t="s">
        <v>66</v>
      </c>
      <c r="C818" s="1">
        <v>11</v>
      </c>
      <c r="D818" s="1" t="s">
        <v>42</v>
      </c>
      <c r="E818" s="8">
        <v>68</v>
      </c>
      <c r="F818" s="1" t="s">
        <v>81</v>
      </c>
      <c r="G818" s="1">
        <v>2020</v>
      </c>
      <c r="H818" s="1" t="str">
        <f>IF(tblFLOWOD[[#This Row],[nama_asal]]=tblFLOWOD[[#This Row],[nama_tujuan]],"keluar","isi")</f>
        <v>isi</v>
      </c>
      <c r="I818" s="1" t="str">
        <f>METADATA_SOURCES!$A$2</f>
        <v>SRC001</v>
      </c>
    </row>
    <row r="819" spans="1:9" x14ac:dyDescent="0.3">
      <c r="A819" s="1">
        <v>71</v>
      </c>
      <c r="B819" s="1" t="s">
        <v>66</v>
      </c>
      <c r="C819" s="1">
        <v>12</v>
      </c>
      <c r="D819" s="1" t="s">
        <v>43</v>
      </c>
      <c r="E819" s="8">
        <v>1064</v>
      </c>
      <c r="F819" s="1" t="s">
        <v>81</v>
      </c>
      <c r="G819" s="1">
        <v>2020</v>
      </c>
      <c r="H819" s="1" t="str">
        <f>IF(tblFLOWOD[[#This Row],[nama_asal]]=tblFLOWOD[[#This Row],[nama_tujuan]],"keluar","isi")</f>
        <v>isi</v>
      </c>
      <c r="I819" s="1" t="str">
        <f>METADATA_SOURCES!$A$2</f>
        <v>SRC001</v>
      </c>
    </row>
    <row r="820" spans="1:9" x14ac:dyDescent="0.3">
      <c r="A820" s="1">
        <v>71</v>
      </c>
      <c r="B820" s="1" t="s">
        <v>66</v>
      </c>
      <c r="C820" s="1">
        <v>13</v>
      </c>
      <c r="D820" s="1" t="s">
        <v>44</v>
      </c>
      <c r="E820" s="8">
        <v>157</v>
      </c>
      <c r="F820" s="1" t="s">
        <v>81</v>
      </c>
      <c r="G820" s="1">
        <v>2020</v>
      </c>
      <c r="H820" s="1" t="str">
        <f>IF(tblFLOWOD[[#This Row],[nama_asal]]=tblFLOWOD[[#This Row],[nama_tujuan]],"keluar","isi")</f>
        <v>isi</v>
      </c>
      <c r="I820" s="1" t="str">
        <f>METADATA_SOURCES!$A$2</f>
        <v>SRC001</v>
      </c>
    </row>
    <row r="821" spans="1:9" x14ac:dyDescent="0.3">
      <c r="A821" s="1">
        <v>71</v>
      </c>
      <c r="B821" s="1" t="s">
        <v>66</v>
      </c>
      <c r="C821" s="1">
        <v>14</v>
      </c>
      <c r="D821" s="1" t="s">
        <v>45</v>
      </c>
      <c r="E821" s="8">
        <v>67</v>
      </c>
      <c r="F821" s="1" t="s">
        <v>81</v>
      </c>
      <c r="G821" s="1">
        <v>2020</v>
      </c>
      <c r="H821" s="1" t="str">
        <f>IF(tblFLOWOD[[#This Row],[nama_asal]]=tblFLOWOD[[#This Row],[nama_tujuan]],"keluar","isi")</f>
        <v>isi</v>
      </c>
      <c r="I821" s="1" t="str">
        <f>METADATA_SOURCES!$A$2</f>
        <v>SRC001</v>
      </c>
    </row>
    <row r="822" spans="1:9" x14ac:dyDescent="0.3">
      <c r="A822" s="1">
        <v>71</v>
      </c>
      <c r="B822" s="1" t="s">
        <v>66</v>
      </c>
      <c r="C822" s="1">
        <v>15</v>
      </c>
      <c r="D822" s="1" t="s">
        <v>46</v>
      </c>
      <c r="E822" s="8">
        <v>10</v>
      </c>
      <c r="F822" s="1" t="s">
        <v>81</v>
      </c>
      <c r="G822" s="1">
        <v>2020</v>
      </c>
      <c r="H822" s="1" t="str">
        <f>IF(tblFLOWOD[[#This Row],[nama_asal]]=tblFLOWOD[[#This Row],[nama_tujuan]],"keluar","isi")</f>
        <v>isi</v>
      </c>
      <c r="I822" s="1" t="str">
        <f>METADATA_SOURCES!$A$2</f>
        <v>SRC001</v>
      </c>
    </row>
    <row r="823" spans="1:9" x14ac:dyDescent="0.3">
      <c r="A823" s="1">
        <v>71</v>
      </c>
      <c r="B823" s="1" t="s">
        <v>66</v>
      </c>
      <c r="C823" s="1">
        <v>16</v>
      </c>
      <c r="D823" s="1" t="s">
        <v>47</v>
      </c>
      <c r="E823" s="8">
        <v>15</v>
      </c>
      <c r="F823" s="1" t="s">
        <v>81</v>
      </c>
      <c r="G823" s="1">
        <v>2020</v>
      </c>
      <c r="H823" s="1" t="str">
        <f>IF(tblFLOWOD[[#This Row],[nama_asal]]=tblFLOWOD[[#This Row],[nama_tujuan]],"keluar","isi")</f>
        <v>isi</v>
      </c>
      <c r="I823" s="1" t="str">
        <f>METADATA_SOURCES!$A$2</f>
        <v>SRC001</v>
      </c>
    </row>
    <row r="824" spans="1:9" x14ac:dyDescent="0.3">
      <c r="A824" s="1">
        <v>71</v>
      </c>
      <c r="B824" s="1" t="s">
        <v>66</v>
      </c>
      <c r="C824" s="1">
        <v>17</v>
      </c>
      <c r="D824" s="1" t="s">
        <v>48</v>
      </c>
      <c r="E824" s="8">
        <v>18</v>
      </c>
      <c r="F824" s="1" t="s">
        <v>81</v>
      </c>
      <c r="G824" s="1">
        <v>2020</v>
      </c>
      <c r="H824" s="1" t="str">
        <f>IF(tblFLOWOD[[#This Row],[nama_asal]]=tblFLOWOD[[#This Row],[nama_tujuan]],"keluar","isi")</f>
        <v>isi</v>
      </c>
      <c r="I824" s="1" t="str">
        <f>METADATA_SOURCES!$A$2</f>
        <v>SRC001</v>
      </c>
    </row>
    <row r="825" spans="1:9" x14ac:dyDescent="0.3">
      <c r="A825" s="1">
        <v>71</v>
      </c>
      <c r="B825" s="1" t="s">
        <v>66</v>
      </c>
      <c r="C825" s="1">
        <v>18</v>
      </c>
      <c r="D825" s="1" t="s">
        <v>49</v>
      </c>
      <c r="E825" s="8">
        <v>141</v>
      </c>
      <c r="F825" s="1" t="s">
        <v>81</v>
      </c>
      <c r="G825" s="1">
        <v>2020</v>
      </c>
      <c r="H825" s="1" t="str">
        <f>IF(tblFLOWOD[[#This Row],[nama_asal]]=tblFLOWOD[[#This Row],[nama_tujuan]],"keluar","isi")</f>
        <v>isi</v>
      </c>
      <c r="I825" s="1" t="str">
        <f>METADATA_SOURCES!$A$2</f>
        <v>SRC001</v>
      </c>
    </row>
    <row r="826" spans="1:9" x14ac:dyDescent="0.3">
      <c r="A826" s="1">
        <v>71</v>
      </c>
      <c r="B826" s="1" t="s">
        <v>66</v>
      </c>
      <c r="C826" s="1">
        <v>19</v>
      </c>
      <c r="D826" s="1" t="s">
        <v>50</v>
      </c>
      <c r="E826" s="8">
        <v>52</v>
      </c>
      <c r="F826" s="1" t="s">
        <v>81</v>
      </c>
      <c r="G826" s="1">
        <v>2020</v>
      </c>
      <c r="H826" s="1" t="str">
        <f>IF(tblFLOWOD[[#This Row],[nama_asal]]=tblFLOWOD[[#This Row],[nama_tujuan]],"keluar","isi")</f>
        <v>isi</v>
      </c>
      <c r="I826" s="1" t="str">
        <f>METADATA_SOURCES!$A$2</f>
        <v>SRC001</v>
      </c>
    </row>
    <row r="827" spans="1:9" x14ac:dyDescent="0.3">
      <c r="A827" s="1">
        <v>71</v>
      </c>
      <c r="B827" s="1" t="s">
        <v>66</v>
      </c>
      <c r="C827" s="1">
        <v>21</v>
      </c>
      <c r="D827" s="1" t="s">
        <v>51</v>
      </c>
      <c r="E827" s="8">
        <v>186</v>
      </c>
      <c r="F827" s="1" t="s">
        <v>81</v>
      </c>
      <c r="G827" s="1">
        <v>2020</v>
      </c>
      <c r="H827" s="1" t="str">
        <f>IF(tblFLOWOD[[#This Row],[nama_asal]]=tblFLOWOD[[#This Row],[nama_tujuan]],"keluar","isi")</f>
        <v>isi</v>
      </c>
      <c r="I827" s="1" t="str">
        <f>METADATA_SOURCES!$A$2</f>
        <v>SRC001</v>
      </c>
    </row>
    <row r="828" spans="1:9" x14ac:dyDescent="0.3">
      <c r="A828" s="1">
        <v>71</v>
      </c>
      <c r="B828" s="1" t="s">
        <v>66</v>
      </c>
      <c r="C828" s="1">
        <v>31</v>
      </c>
      <c r="D828" s="1" t="s">
        <v>52</v>
      </c>
      <c r="E828" s="8">
        <v>618</v>
      </c>
      <c r="F828" s="1" t="s">
        <v>81</v>
      </c>
      <c r="G828" s="1">
        <v>2020</v>
      </c>
      <c r="H828" s="1" t="str">
        <f>IF(tblFLOWOD[[#This Row],[nama_asal]]=tblFLOWOD[[#This Row],[nama_tujuan]],"keluar","isi")</f>
        <v>isi</v>
      </c>
      <c r="I828" s="1" t="str">
        <f>METADATA_SOURCES!$A$2</f>
        <v>SRC001</v>
      </c>
    </row>
    <row r="829" spans="1:9" x14ac:dyDescent="0.3">
      <c r="A829" s="1">
        <v>71</v>
      </c>
      <c r="B829" s="1" t="s">
        <v>66</v>
      </c>
      <c r="C829" s="1">
        <v>32</v>
      </c>
      <c r="D829" s="1" t="s">
        <v>53</v>
      </c>
      <c r="E829" s="8">
        <v>1095</v>
      </c>
      <c r="F829" s="1" t="s">
        <v>81</v>
      </c>
      <c r="G829" s="1">
        <v>2020</v>
      </c>
      <c r="H829" s="1" t="str">
        <f>IF(tblFLOWOD[[#This Row],[nama_asal]]=tblFLOWOD[[#This Row],[nama_tujuan]],"keluar","isi")</f>
        <v>isi</v>
      </c>
      <c r="I829" s="1" t="str">
        <f>METADATA_SOURCES!$A$2</f>
        <v>SRC001</v>
      </c>
    </row>
    <row r="830" spans="1:9" x14ac:dyDescent="0.3">
      <c r="A830" s="1">
        <v>71</v>
      </c>
      <c r="B830" s="1" t="s">
        <v>66</v>
      </c>
      <c r="C830" s="1">
        <v>33</v>
      </c>
      <c r="D830" s="1" t="s">
        <v>54</v>
      </c>
      <c r="E830" s="8">
        <v>1009</v>
      </c>
      <c r="F830" s="1" t="s">
        <v>81</v>
      </c>
      <c r="G830" s="1">
        <v>2020</v>
      </c>
      <c r="H830" s="1" t="str">
        <f>IF(tblFLOWOD[[#This Row],[nama_asal]]=tblFLOWOD[[#This Row],[nama_tujuan]],"keluar","isi")</f>
        <v>isi</v>
      </c>
      <c r="I830" s="1" t="str">
        <f>METADATA_SOURCES!$A$2</f>
        <v>SRC001</v>
      </c>
    </row>
    <row r="831" spans="1:9" x14ac:dyDescent="0.3">
      <c r="A831" s="1">
        <v>71</v>
      </c>
      <c r="B831" s="1" t="s">
        <v>66</v>
      </c>
      <c r="C831" s="1">
        <v>34</v>
      </c>
      <c r="D831" s="1" t="s">
        <v>55</v>
      </c>
      <c r="E831" s="8">
        <v>279</v>
      </c>
      <c r="F831" s="1" t="s">
        <v>81</v>
      </c>
      <c r="G831" s="1">
        <v>2020</v>
      </c>
      <c r="H831" s="1" t="str">
        <f>IF(tblFLOWOD[[#This Row],[nama_asal]]=tblFLOWOD[[#This Row],[nama_tujuan]],"keluar","isi")</f>
        <v>isi</v>
      </c>
      <c r="I831" s="1" t="str">
        <f>METADATA_SOURCES!$A$2</f>
        <v>SRC001</v>
      </c>
    </row>
    <row r="832" spans="1:9" x14ac:dyDescent="0.3">
      <c r="A832" s="1">
        <v>71</v>
      </c>
      <c r="B832" s="1" t="s">
        <v>66</v>
      </c>
      <c r="C832" s="1">
        <v>35</v>
      </c>
      <c r="D832" s="1" t="s">
        <v>56</v>
      </c>
      <c r="E832" s="8">
        <v>2487</v>
      </c>
      <c r="F832" s="1" t="s">
        <v>81</v>
      </c>
      <c r="G832" s="1">
        <v>2020</v>
      </c>
      <c r="H832" s="1" t="str">
        <f>IF(tblFLOWOD[[#This Row],[nama_asal]]=tblFLOWOD[[#This Row],[nama_tujuan]],"keluar","isi")</f>
        <v>isi</v>
      </c>
      <c r="I832" s="1" t="str">
        <f>METADATA_SOURCES!$A$2</f>
        <v>SRC001</v>
      </c>
    </row>
    <row r="833" spans="1:9" x14ac:dyDescent="0.3">
      <c r="A833" s="1">
        <v>71</v>
      </c>
      <c r="B833" s="1" t="s">
        <v>66</v>
      </c>
      <c r="C833" s="1">
        <v>36</v>
      </c>
      <c r="D833" s="1" t="s">
        <v>57</v>
      </c>
      <c r="E833" s="8">
        <v>474</v>
      </c>
      <c r="F833" s="1" t="s">
        <v>81</v>
      </c>
      <c r="G833" s="1">
        <v>2020</v>
      </c>
      <c r="H833" s="1" t="str">
        <f>IF(tblFLOWOD[[#This Row],[nama_asal]]=tblFLOWOD[[#This Row],[nama_tujuan]],"keluar","isi")</f>
        <v>isi</v>
      </c>
      <c r="I833" s="1" t="str">
        <f>METADATA_SOURCES!$A$2</f>
        <v>SRC001</v>
      </c>
    </row>
    <row r="834" spans="1:9" x14ac:dyDescent="0.3">
      <c r="A834" s="1">
        <v>71</v>
      </c>
      <c r="B834" s="1" t="s">
        <v>66</v>
      </c>
      <c r="C834" s="1">
        <v>51</v>
      </c>
      <c r="D834" s="1" t="s">
        <v>58</v>
      </c>
      <c r="E834" s="8">
        <v>226</v>
      </c>
      <c r="F834" s="1" t="s">
        <v>81</v>
      </c>
      <c r="G834" s="1">
        <v>2020</v>
      </c>
      <c r="H834" s="1" t="str">
        <f>IF(tblFLOWOD[[#This Row],[nama_asal]]=tblFLOWOD[[#This Row],[nama_tujuan]],"keluar","isi")</f>
        <v>isi</v>
      </c>
      <c r="I834" s="1" t="str">
        <f>METADATA_SOURCES!$A$2</f>
        <v>SRC001</v>
      </c>
    </row>
    <row r="835" spans="1:9" x14ac:dyDescent="0.3">
      <c r="A835" s="1">
        <v>71</v>
      </c>
      <c r="B835" s="1" t="s">
        <v>66</v>
      </c>
      <c r="C835" s="1">
        <v>52</v>
      </c>
      <c r="D835" s="1" t="s">
        <v>59</v>
      </c>
      <c r="E835" s="8">
        <v>362</v>
      </c>
      <c r="F835" s="1" t="s">
        <v>81</v>
      </c>
      <c r="G835" s="1">
        <v>2020</v>
      </c>
      <c r="H835" s="1" t="str">
        <f>IF(tblFLOWOD[[#This Row],[nama_asal]]=tblFLOWOD[[#This Row],[nama_tujuan]],"keluar","isi")</f>
        <v>isi</v>
      </c>
      <c r="I835" s="1" t="str">
        <f>METADATA_SOURCES!$A$2</f>
        <v>SRC001</v>
      </c>
    </row>
    <row r="836" spans="1:9" x14ac:dyDescent="0.3">
      <c r="A836" s="1">
        <v>71</v>
      </c>
      <c r="B836" s="1" t="s">
        <v>66</v>
      </c>
      <c r="C836" s="1">
        <v>53</v>
      </c>
      <c r="D836" s="1" t="s">
        <v>60</v>
      </c>
      <c r="E836" s="8">
        <v>567</v>
      </c>
      <c r="F836" s="1" t="s">
        <v>81</v>
      </c>
      <c r="G836" s="1">
        <v>2020</v>
      </c>
      <c r="H836" s="1" t="str">
        <f>IF(tblFLOWOD[[#This Row],[nama_asal]]=tblFLOWOD[[#This Row],[nama_tujuan]],"keluar","isi")</f>
        <v>isi</v>
      </c>
      <c r="I836" s="1" t="str">
        <f>METADATA_SOURCES!$A$2</f>
        <v>SRC001</v>
      </c>
    </row>
    <row r="837" spans="1:9" x14ac:dyDescent="0.3">
      <c r="A837" s="1">
        <v>71</v>
      </c>
      <c r="B837" s="1" t="s">
        <v>66</v>
      </c>
      <c r="C837" s="1">
        <v>61</v>
      </c>
      <c r="D837" s="1" t="s">
        <v>61</v>
      </c>
      <c r="E837" s="8">
        <v>64</v>
      </c>
      <c r="F837" s="1" t="s">
        <v>81</v>
      </c>
      <c r="G837" s="1">
        <v>2020</v>
      </c>
      <c r="H837" s="1" t="str">
        <f>IF(tblFLOWOD[[#This Row],[nama_asal]]=tblFLOWOD[[#This Row],[nama_tujuan]],"keluar","isi")</f>
        <v>isi</v>
      </c>
      <c r="I837" s="1" t="str">
        <f>METADATA_SOURCES!$A$2</f>
        <v>SRC001</v>
      </c>
    </row>
    <row r="838" spans="1:9" x14ac:dyDescent="0.3">
      <c r="A838" s="1">
        <v>71</v>
      </c>
      <c r="B838" s="1" t="s">
        <v>66</v>
      </c>
      <c r="C838" s="1">
        <v>62</v>
      </c>
      <c r="D838" s="1" t="s">
        <v>62</v>
      </c>
      <c r="E838" s="8">
        <v>364</v>
      </c>
      <c r="F838" s="1" t="s">
        <v>81</v>
      </c>
      <c r="G838" s="1">
        <v>2020</v>
      </c>
      <c r="H838" s="1" t="str">
        <f>IF(tblFLOWOD[[#This Row],[nama_asal]]=tblFLOWOD[[#This Row],[nama_tujuan]],"keluar","isi")</f>
        <v>isi</v>
      </c>
      <c r="I838" s="1" t="str">
        <f>METADATA_SOURCES!$A$2</f>
        <v>SRC001</v>
      </c>
    </row>
    <row r="839" spans="1:9" x14ac:dyDescent="0.3">
      <c r="A839" s="1">
        <v>71</v>
      </c>
      <c r="B839" s="1" t="s">
        <v>66</v>
      </c>
      <c r="C839" s="1">
        <v>63</v>
      </c>
      <c r="D839" s="1" t="s">
        <v>63</v>
      </c>
      <c r="E839" s="8">
        <v>173</v>
      </c>
      <c r="F839" s="1" t="s">
        <v>81</v>
      </c>
      <c r="G839" s="1">
        <v>2020</v>
      </c>
      <c r="H839" s="1" t="str">
        <f>IF(tblFLOWOD[[#This Row],[nama_asal]]=tblFLOWOD[[#This Row],[nama_tujuan]],"keluar","isi")</f>
        <v>isi</v>
      </c>
      <c r="I839" s="1" t="str">
        <f>METADATA_SOURCES!$A$2</f>
        <v>SRC001</v>
      </c>
    </row>
    <row r="840" spans="1:9" x14ac:dyDescent="0.3">
      <c r="A840" s="1">
        <v>71</v>
      </c>
      <c r="B840" s="1" t="s">
        <v>66</v>
      </c>
      <c r="C840" s="1">
        <v>64</v>
      </c>
      <c r="D840" s="1" t="s">
        <v>64</v>
      </c>
      <c r="E840" s="8">
        <v>824</v>
      </c>
      <c r="F840" s="1" t="s">
        <v>81</v>
      </c>
      <c r="G840" s="1">
        <v>2020</v>
      </c>
      <c r="H840" s="1" t="str">
        <f>IF(tblFLOWOD[[#This Row],[nama_asal]]=tblFLOWOD[[#This Row],[nama_tujuan]],"keluar","isi")</f>
        <v>isi</v>
      </c>
      <c r="I840" s="1" t="str">
        <f>METADATA_SOURCES!$A$2</f>
        <v>SRC001</v>
      </c>
    </row>
    <row r="841" spans="1:9" x14ac:dyDescent="0.3">
      <c r="A841" s="1">
        <v>71</v>
      </c>
      <c r="B841" s="1" t="s">
        <v>66</v>
      </c>
      <c r="C841" s="1">
        <v>65</v>
      </c>
      <c r="D841" s="1" t="s">
        <v>65</v>
      </c>
      <c r="E841" s="8">
        <v>105</v>
      </c>
      <c r="F841" s="1" t="s">
        <v>81</v>
      </c>
      <c r="G841" s="1">
        <v>2020</v>
      </c>
      <c r="H841" s="1" t="str">
        <f>IF(tblFLOWOD[[#This Row],[nama_asal]]=tblFLOWOD[[#This Row],[nama_tujuan]],"keluar","isi")</f>
        <v>isi</v>
      </c>
      <c r="I841" s="1" t="str">
        <f>METADATA_SOURCES!$A$2</f>
        <v>SRC001</v>
      </c>
    </row>
    <row r="842" spans="1:9" x14ac:dyDescent="0.3">
      <c r="A842" s="1">
        <v>71</v>
      </c>
      <c r="B842" s="1" t="s">
        <v>66</v>
      </c>
      <c r="C842" s="1">
        <v>71</v>
      </c>
      <c r="D842" s="1" t="s">
        <v>66</v>
      </c>
      <c r="E842" s="8">
        <v>2431519</v>
      </c>
      <c r="F842" s="1" t="s">
        <v>81</v>
      </c>
      <c r="G842" s="1">
        <v>2020</v>
      </c>
      <c r="H842" s="1" t="str">
        <f>IF(tblFLOWOD[[#This Row],[nama_asal]]=tblFLOWOD[[#This Row],[nama_tujuan]],"keluar","isi")</f>
        <v>keluar</v>
      </c>
      <c r="I842" s="1" t="str">
        <f>METADATA_SOURCES!$A$2</f>
        <v>SRC001</v>
      </c>
    </row>
    <row r="843" spans="1:9" x14ac:dyDescent="0.3">
      <c r="A843" s="1">
        <v>71</v>
      </c>
      <c r="B843" s="1" t="s">
        <v>66</v>
      </c>
      <c r="C843" s="1">
        <v>72</v>
      </c>
      <c r="D843" s="1" t="s">
        <v>67</v>
      </c>
      <c r="E843" s="8">
        <v>3265</v>
      </c>
      <c r="F843" s="1" t="s">
        <v>81</v>
      </c>
      <c r="G843" s="1">
        <v>2020</v>
      </c>
      <c r="H843" s="1" t="str">
        <f>IF(tblFLOWOD[[#This Row],[nama_asal]]=tblFLOWOD[[#This Row],[nama_tujuan]],"keluar","isi")</f>
        <v>isi</v>
      </c>
      <c r="I843" s="1" t="str">
        <f>METADATA_SOURCES!$A$2</f>
        <v>SRC001</v>
      </c>
    </row>
    <row r="844" spans="1:9" x14ac:dyDescent="0.3">
      <c r="A844" s="1">
        <v>71</v>
      </c>
      <c r="B844" s="1" t="s">
        <v>66</v>
      </c>
      <c r="C844" s="1">
        <v>73</v>
      </c>
      <c r="D844" s="1" t="s">
        <v>68</v>
      </c>
      <c r="E844" s="8">
        <v>1756</v>
      </c>
      <c r="F844" s="1" t="s">
        <v>81</v>
      </c>
      <c r="G844" s="1">
        <v>2020</v>
      </c>
      <c r="H844" s="1" t="str">
        <f>IF(tblFLOWOD[[#This Row],[nama_asal]]=tblFLOWOD[[#This Row],[nama_tujuan]],"keluar","isi")</f>
        <v>isi</v>
      </c>
      <c r="I844" s="1" t="str">
        <f>METADATA_SOURCES!$A$2</f>
        <v>SRC001</v>
      </c>
    </row>
    <row r="845" spans="1:9" x14ac:dyDescent="0.3">
      <c r="A845" s="1">
        <v>71</v>
      </c>
      <c r="B845" s="1" t="s">
        <v>66</v>
      </c>
      <c r="C845" s="1">
        <v>74</v>
      </c>
      <c r="D845" s="1" t="s">
        <v>69</v>
      </c>
      <c r="E845" s="8">
        <v>1597</v>
      </c>
      <c r="F845" s="1" t="s">
        <v>81</v>
      </c>
      <c r="G845" s="1">
        <v>2020</v>
      </c>
      <c r="H845" s="1" t="str">
        <f>IF(tblFLOWOD[[#This Row],[nama_asal]]=tblFLOWOD[[#This Row],[nama_tujuan]],"keluar","isi")</f>
        <v>isi</v>
      </c>
      <c r="I845" s="1" t="str">
        <f>METADATA_SOURCES!$A$2</f>
        <v>SRC001</v>
      </c>
    </row>
    <row r="846" spans="1:9" x14ac:dyDescent="0.3">
      <c r="A846" s="1">
        <v>71</v>
      </c>
      <c r="B846" s="1" t="s">
        <v>66</v>
      </c>
      <c r="C846" s="1">
        <v>75</v>
      </c>
      <c r="D846" s="1" t="s">
        <v>70</v>
      </c>
      <c r="E846" s="8">
        <v>8651</v>
      </c>
      <c r="F846" s="1" t="s">
        <v>81</v>
      </c>
      <c r="G846" s="1">
        <v>2020</v>
      </c>
      <c r="H846" s="1" t="str">
        <f>IF(tblFLOWOD[[#This Row],[nama_asal]]=tblFLOWOD[[#This Row],[nama_tujuan]],"keluar","isi")</f>
        <v>isi</v>
      </c>
      <c r="I846" s="1" t="str">
        <f>METADATA_SOURCES!$A$2</f>
        <v>SRC001</v>
      </c>
    </row>
    <row r="847" spans="1:9" x14ac:dyDescent="0.3">
      <c r="A847" s="1">
        <v>71</v>
      </c>
      <c r="B847" s="1" t="s">
        <v>66</v>
      </c>
      <c r="C847" s="1">
        <v>76</v>
      </c>
      <c r="D847" s="1" t="s">
        <v>71</v>
      </c>
      <c r="E847" s="8">
        <v>108</v>
      </c>
      <c r="F847" s="1" t="s">
        <v>81</v>
      </c>
      <c r="G847" s="1">
        <v>2020</v>
      </c>
      <c r="H847" s="1" t="str">
        <f>IF(tblFLOWOD[[#This Row],[nama_asal]]=tblFLOWOD[[#This Row],[nama_tujuan]],"keluar","isi")</f>
        <v>isi</v>
      </c>
      <c r="I847" s="1" t="str">
        <f>METADATA_SOURCES!$A$2</f>
        <v>SRC001</v>
      </c>
    </row>
    <row r="848" spans="1:9" x14ac:dyDescent="0.3">
      <c r="A848" s="1">
        <v>71</v>
      </c>
      <c r="B848" s="1" t="s">
        <v>66</v>
      </c>
      <c r="C848" s="1">
        <v>81</v>
      </c>
      <c r="D848" s="1" t="s">
        <v>72</v>
      </c>
      <c r="E848" s="8">
        <v>841</v>
      </c>
      <c r="F848" s="1" t="s">
        <v>81</v>
      </c>
      <c r="G848" s="1">
        <v>2020</v>
      </c>
      <c r="H848" s="1" t="str">
        <f>IF(tblFLOWOD[[#This Row],[nama_asal]]=tblFLOWOD[[#This Row],[nama_tujuan]],"keluar","isi")</f>
        <v>isi</v>
      </c>
      <c r="I848" s="1" t="str">
        <f>METADATA_SOURCES!$A$2</f>
        <v>SRC001</v>
      </c>
    </row>
    <row r="849" spans="1:9" x14ac:dyDescent="0.3">
      <c r="A849" s="1">
        <v>71</v>
      </c>
      <c r="B849" s="1" t="s">
        <v>66</v>
      </c>
      <c r="C849" s="1">
        <v>82</v>
      </c>
      <c r="D849" s="1" t="s">
        <v>73</v>
      </c>
      <c r="E849" s="8">
        <v>2081</v>
      </c>
      <c r="F849" s="1" t="s">
        <v>81</v>
      </c>
      <c r="G849" s="1">
        <v>2020</v>
      </c>
      <c r="H849" s="1" t="str">
        <f>IF(tblFLOWOD[[#This Row],[nama_asal]]=tblFLOWOD[[#This Row],[nama_tujuan]],"keluar","isi")</f>
        <v>isi</v>
      </c>
      <c r="I849" s="1" t="str">
        <f>METADATA_SOURCES!$A$2</f>
        <v>SRC001</v>
      </c>
    </row>
    <row r="850" spans="1:9" x14ac:dyDescent="0.3">
      <c r="A850" s="1">
        <v>71</v>
      </c>
      <c r="B850" s="1" t="s">
        <v>66</v>
      </c>
      <c r="C850" s="1">
        <v>91</v>
      </c>
      <c r="D850" s="1" t="s">
        <v>74</v>
      </c>
      <c r="E850" s="8">
        <v>1655</v>
      </c>
      <c r="F850" s="1" t="s">
        <v>81</v>
      </c>
      <c r="G850" s="1">
        <v>2020</v>
      </c>
      <c r="H850" s="1" t="str">
        <f>IF(tblFLOWOD[[#This Row],[nama_asal]]=tblFLOWOD[[#This Row],[nama_tujuan]],"keluar","isi")</f>
        <v>isi</v>
      </c>
      <c r="I850" s="1" t="str">
        <f>METADATA_SOURCES!$A$2</f>
        <v>SRC001</v>
      </c>
    </row>
    <row r="851" spans="1:9" x14ac:dyDescent="0.3">
      <c r="A851" s="1">
        <v>71</v>
      </c>
      <c r="B851" s="1" t="s">
        <v>66</v>
      </c>
      <c r="C851" s="1">
        <v>94</v>
      </c>
      <c r="D851" s="1" t="s">
        <v>75</v>
      </c>
      <c r="E851" s="8">
        <v>1195</v>
      </c>
      <c r="F851" s="1" t="s">
        <v>81</v>
      </c>
      <c r="G851" s="1">
        <v>2020</v>
      </c>
      <c r="H851" s="1" t="str">
        <f>IF(tblFLOWOD[[#This Row],[nama_asal]]=tblFLOWOD[[#This Row],[nama_tujuan]],"keluar","isi")</f>
        <v>isi</v>
      </c>
      <c r="I851" s="1" t="str">
        <f>METADATA_SOURCES!$A$2</f>
        <v>SRC001</v>
      </c>
    </row>
    <row r="852" spans="1:9" x14ac:dyDescent="0.3">
      <c r="A852" s="1">
        <v>72</v>
      </c>
      <c r="B852" s="1" t="s">
        <v>67</v>
      </c>
      <c r="C852" s="1">
        <v>11</v>
      </c>
      <c r="D852" s="1" t="s">
        <v>42</v>
      </c>
      <c r="E852" s="8">
        <v>8</v>
      </c>
      <c r="F852" s="1" t="s">
        <v>81</v>
      </c>
      <c r="G852" s="1">
        <v>2020</v>
      </c>
      <c r="H852" s="1" t="str">
        <f>IF(tblFLOWOD[[#This Row],[nama_asal]]=tblFLOWOD[[#This Row],[nama_tujuan]],"keluar","isi")</f>
        <v>isi</v>
      </c>
      <c r="I852" s="1" t="str">
        <f>METADATA_SOURCES!$A$2</f>
        <v>SRC001</v>
      </c>
    </row>
    <row r="853" spans="1:9" x14ac:dyDescent="0.3">
      <c r="A853" s="1">
        <v>72</v>
      </c>
      <c r="B853" s="1" t="s">
        <v>67</v>
      </c>
      <c r="C853" s="1">
        <v>12</v>
      </c>
      <c r="D853" s="1" t="s">
        <v>43</v>
      </c>
      <c r="E853" s="8">
        <v>250</v>
      </c>
      <c r="F853" s="1" t="s">
        <v>81</v>
      </c>
      <c r="G853" s="1">
        <v>2020</v>
      </c>
      <c r="H853" s="1" t="str">
        <f>IF(tblFLOWOD[[#This Row],[nama_asal]]=tblFLOWOD[[#This Row],[nama_tujuan]],"keluar","isi")</f>
        <v>isi</v>
      </c>
      <c r="I853" s="1" t="str">
        <f>METADATA_SOURCES!$A$2</f>
        <v>SRC001</v>
      </c>
    </row>
    <row r="854" spans="1:9" x14ac:dyDescent="0.3">
      <c r="A854" s="1">
        <v>72</v>
      </c>
      <c r="B854" s="1" t="s">
        <v>67</v>
      </c>
      <c r="C854" s="1">
        <v>13</v>
      </c>
      <c r="D854" s="1" t="s">
        <v>44</v>
      </c>
      <c r="E854" s="8">
        <v>29</v>
      </c>
      <c r="F854" s="1" t="s">
        <v>81</v>
      </c>
      <c r="G854" s="1">
        <v>2020</v>
      </c>
      <c r="H854" s="1" t="str">
        <f>IF(tblFLOWOD[[#This Row],[nama_asal]]=tblFLOWOD[[#This Row],[nama_tujuan]],"keluar","isi")</f>
        <v>isi</v>
      </c>
      <c r="I854" s="1" t="str">
        <f>METADATA_SOURCES!$A$2</f>
        <v>SRC001</v>
      </c>
    </row>
    <row r="855" spans="1:9" x14ac:dyDescent="0.3">
      <c r="A855" s="1">
        <v>72</v>
      </c>
      <c r="B855" s="1" t="s">
        <v>67</v>
      </c>
      <c r="C855" s="1">
        <v>14</v>
      </c>
      <c r="D855" s="1" t="s">
        <v>45</v>
      </c>
      <c r="E855" s="8">
        <v>0</v>
      </c>
      <c r="F855" s="1" t="s">
        <v>81</v>
      </c>
      <c r="G855" s="1">
        <v>2020</v>
      </c>
      <c r="H855" s="1" t="str">
        <f>IF(tblFLOWOD[[#This Row],[nama_asal]]=tblFLOWOD[[#This Row],[nama_tujuan]],"keluar","isi")</f>
        <v>isi</v>
      </c>
      <c r="I855" s="1" t="str">
        <f>METADATA_SOURCES!$A$2</f>
        <v>SRC001</v>
      </c>
    </row>
    <row r="856" spans="1:9" x14ac:dyDescent="0.3">
      <c r="A856" s="1">
        <v>72</v>
      </c>
      <c r="B856" s="1" t="s">
        <v>67</v>
      </c>
      <c r="C856" s="1">
        <v>15</v>
      </c>
      <c r="D856" s="1" t="s">
        <v>46</v>
      </c>
      <c r="E856" s="8">
        <v>18</v>
      </c>
      <c r="F856" s="1" t="s">
        <v>81</v>
      </c>
      <c r="G856" s="1">
        <v>2020</v>
      </c>
      <c r="H856" s="1" t="str">
        <f>IF(tblFLOWOD[[#This Row],[nama_asal]]=tblFLOWOD[[#This Row],[nama_tujuan]],"keluar","isi")</f>
        <v>isi</v>
      </c>
      <c r="I856" s="1" t="str">
        <f>METADATA_SOURCES!$A$2</f>
        <v>SRC001</v>
      </c>
    </row>
    <row r="857" spans="1:9" x14ac:dyDescent="0.3">
      <c r="A857" s="1">
        <v>72</v>
      </c>
      <c r="B857" s="1" t="s">
        <v>67</v>
      </c>
      <c r="C857" s="1">
        <v>16</v>
      </c>
      <c r="D857" s="1" t="s">
        <v>47</v>
      </c>
      <c r="E857" s="8">
        <v>58</v>
      </c>
      <c r="F857" s="1" t="s">
        <v>81</v>
      </c>
      <c r="G857" s="1">
        <v>2020</v>
      </c>
      <c r="H857" s="1" t="str">
        <f>IF(tblFLOWOD[[#This Row],[nama_asal]]=tblFLOWOD[[#This Row],[nama_tujuan]],"keluar","isi")</f>
        <v>isi</v>
      </c>
      <c r="I857" s="1" t="str">
        <f>METADATA_SOURCES!$A$2</f>
        <v>SRC001</v>
      </c>
    </row>
    <row r="858" spans="1:9" x14ac:dyDescent="0.3">
      <c r="A858" s="1">
        <v>72</v>
      </c>
      <c r="B858" s="1" t="s">
        <v>67</v>
      </c>
      <c r="C858" s="1">
        <v>17</v>
      </c>
      <c r="D858" s="1" t="s">
        <v>48</v>
      </c>
      <c r="E858" s="8">
        <v>8</v>
      </c>
      <c r="F858" s="1" t="s">
        <v>81</v>
      </c>
      <c r="G858" s="1">
        <v>2020</v>
      </c>
      <c r="H858" s="1" t="str">
        <f>IF(tblFLOWOD[[#This Row],[nama_asal]]=tblFLOWOD[[#This Row],[nama_tujuan]],"keluar","isi")</f>
        <v>isi</v>
      </c>
      <c r="I858" s="1" t="str">
        <f>METADATA_SOURCES!$A$2</f>
        <v>SRC001</v>
      </c>
    </row>
    <row r="859" spans="1:9" x14ac:dyDescent="0.3">
      <c r="A859" s="1">
        <v>72</v>
      </c>
      <c r="B859" s="1" t="s">
        <v>67</v>
      </c>
      <c r="C859" s="1">
        <v>18</v>
      </c>
      <c r="D859" s="1" t="s">
        <v>49</v>
      </c>
      <c r="E859" s="8">
        <v>118</v>
      </c>
      <c r="F859" s="1" t="s">
        <v>81</v>
      </c>
      <c r="G859" s="1">
        <v>2020</v>
      </c>
      <c r="H859" s="1" t="str">
        <f>IF(tblFLOWOD[[#This Row],[nama_asal]]=tblFLOWOD[[#This Row],[nama_tujuan]],"keluar","isi")</f>
        <v>isi</v>
      </c>
      <c r="I859" s="1" t="str">
        <f>METADATA_SOURCES!$A$2</f>
        <v>SRC001</v>
      </c>
    </row>
    <row r="860" spans="1:9" x14ac:dyDescent="0.3">
      <c r="A860" s="1">
        <v>72</v>
      </c>
      <c r="B860" s="1" t="s">
        <v>67</v>
      </c>
      <c r="C860" s="1">
        <v>19</v>
      </c>
      <c r="D860" s="1" t="s">
        <v>50</v>
      </c>
      <c r="E860" s="8">
        <v>144</v>
      </c>
      <c r="F860" s="1" t="s">
        <v>81</v>
      </c>
      <c r="G860" s="1">
        <v>2020</v>
      </c>
      <c r="H860" s="1" t="str">
        <f>IF(tblFLOWOD[[#This Row],[nama_asal]]=tblFLOWOD[[#This Row],[nama_tujuan]],"keluar","isi")</f>
        <v>isi</v>
      </c>
      <c r="I860" s="1" t="str">
        <f>METADATA_SOURCES!$A$2</f>
        <v>SRC001</v>
      </c>
    </row>
    <row r="861" spans="1:9" x14ac:dyDescent="0.3">
      <c r="A861" s="1">
        <v>72</v>
      </c>
      <c r="B861" s="1" t="s">
        <v>67</v>
      </c>
      <c r="C861" s="1">
        <v>21</v>
      </c>
      <c r="D861" s="1" t="s">
        <v>51</v>
      </c>
      <c r="E861" s="8">
        <v>50</v>
      </c>
      <c r="F861" s="1" t="s">
        <v>81</v>
      </c>
      <c r="G861" s="1">
        <v>2020</v>
      </c>
      <c r="H861" s="1" t="str">
        <f>IF(tblFLOWOD[[#This Row],[nama_asal]]=tblFLOWOD[[#This Row],[nama_tujuan]],"keluar","isi")</f>
        <v>isi</v>
      </c>
      <c r="I861" s="1" t="str">
        <f>METADATA_SOURCES!$A$2</f>
        <v>SRC001</v>
      </c>
    </row>
    <row r="862" spans="1:9" x14ac:dyDescent="0.3">
      <c r="A862" s="1">
        <v>72</v>
      </c>
      <c r="B862" s="1" t="s">
        <v>67</v>
      </c>
      <c r="C862" s="1">
        <v>31</v>
      </c>
      <c r="D862" s="1" t="s">
        <v>52</v>
      </c>
      <c r="E862" s="8">
        <v>35</v>
      </c>
      <c r="F862" s="1" t="s">
        <v>81</v>
      </c>
      <c r="G862" s="1">
        <v>2020</v>
      </c>
      <c r="H862" s="1" t="str">
        <f>IF(tblFLOWOD[[#This Row],[nama_asal]]=tblFLOWOD[[#This Row],[nama_tujuan]],"keluar","isi")</f>
        <v>isi</v>
      </c>
      <c r="I862" s="1" t="str">
        <f>METADATA_SOURCES!$A$2</f>
        <v>SRC001</v>
      </c>
    </row>
    <row r="863" spans="1:9" x14ac:dyDescent="0.3">
      <c r="A863" s="1">
        <v>72</v>
      </c>
      <c r="B863" s="1" t="s">
        <v>67</v>
      </c>
      <c r="C863" s="1">
        <v>32</v>
      </c>
      <c r="D863" s="1" t="s">
        <v>53</v>
      </c>
      <c r="E863" s="8">
        <v>1068</v>
      </c>
      <c r="F863" s="1" t="s">
        <v>81</v>
      </c>
      <c r="G863" s="1">
        <v>2020</v>
      </c>
      <c r="H863" s="1" t="str">
        <f>IF(tblFLOWOD[[#This Row],[nama_asal]]=tblFLOWOD[[#This Row],[nama_tujuan]],"keluar","isi")</f>
        <v>isi</v>
      </c>
      <c r="I863" s="1" t="str">
        <f>METADATA_SOURCES!$A$2</f>
        <v>SRC001</v>
      </c>
    </row>
    <row r="864" spans="1:9" x14ac:dyDescent="0.3">
      <c r="A864" s="1">
        <v>72</v>
      </c>
      <c r="B864" s="1" t="s">
        <v>67</v>
      </c>
      <c r="C864" s="1">
        <v>33</v>
      </c>
      <c r="D864" s="1" t="s">
        <v>54</v>
      </c>
      <c r="E864" s="8">
        <v>3260</v>
      </c>
      <c r="F864" s="1" t="s">
        <v>81</v>
      </c>
      <c r="G864" s="1">
        <v>2020</v>
      </c>
      <c r="H864" s="1" t="str">
        <f>IF(tblFLOWOD[[#This Row],[nama_asal]]=tblFLOWOD[[#This Row],[nama_tujuan]],"keluar","isi")</f>
        <v>isi</v>
      </c>
      <c r="I864" s="1" t="str">
        <f>METADATA_SOURCES!$A$2</f>
        <v>SRC001</v>
      </c>
    </row>
    <row r="865" spans="1:9" x14ac:dyDescent="0.3">
      <c r="A865" s="1">
        <v>72</v>
      </c>
      <c r="B865" s="1" t="s">
        <v>67</v>
      </c>
      <c r="C865" s="1">
        <v>34</v>
      </c>
      <c r="D865" s="1" t="s">
        <v>55</v>
      </c>
      <c r="E865" s="8">
        <v>1033</v>
      </c>
      <c r="F865" s="1" t="s">
        <v>81</v>
      </c>
      <c r="G865" s="1">
        <v>2020</v>
      </c>
      <c r="H865" s="1" t="str">
        <f>IF(tblFLOWOD[[#This Row],[nama_asal]]=tblFLOWOD[[#This Row],[nama_tujuan]],"keluar","isi")</f>
        <v>isi</v>
      </c>
      <c r="I865" s="1" t="str">
        <f>METADATA_SOURCES!$A$2</f>
        <v>SRC001</v>
      </c>
    </row>
    <row r="866" spans="1:9" x14ac:dyDescent="0.3">
      <c r="A866" s="1">
        <v>72</v>
      </c>
      <c r="B866" s="1" t="s">
        <v>67</v>
      </c>
      <c r="C866" s="1">
        <v>35</v>
      </c>
      <c r="D866" s="1" t="s">
        <v>56</v>
      </c>
      <c r="E866" s="8">
        <v>1547</v>
      </c>
      <c r="F866" s="1" t="s">
        <v>81</v>
      </c>
      <c r="G866" s="1">
        <v>2020</v>
      </c>
      <c r="H866" s="1" t="str">
        <f>IF(tblFLOWOD[[#This Row],[nama_asal]]=tblFLOWOD[[#This Row],[nama_tujuan]],"keluar","isi")</f>
        <v>isi</v>
      </c>
      <c r="I866" s="1" t="str">
        <f>METADATA_SOURCES!$A$2</f>
        <v>SRC001</v>
      </c>
    </row>
    <row r="867" spans="1:9" x14ac:dyDescent="0.3">
      <c r="A867" s="1">
        <v>72</v>
      </c>
      <c r="B867" s="1" t="s">
        <v>67</v>
      </c>
      <c r="C867" s="1">
        <v>36</v>
      </c>
      <c r="D867" s="1" t="s">
        <v>57</v>
      </c>
      <c r="E867" s="8">
        <v>292</v>
      </c>
      <c r="F867" s="1" t="s">
        <v>81</v>
      </c>
      <c r="G867" s="1">
        <v>2020</v>
      </c>
      <c r="H867" s="1" t="str">
        <f>IF(tblFLOWOD[[#This Row],[nama_asal]]=tblFLOWOD[[#This Row],[nama_tujuan]],"keluar","isi")</f>
        <v>isi</v>
      </c>
      <c r="I867" s="1" t="str">
        <f>METADATA_SOURCES!$A$2</f>
        <v>SRC001</v>
      </c>
    </row>
    <row r="868" spans="1:9" x14ac:dyDescent="0.3">
      <c r="A868" s="1">
        <v>72</v>
      </c>
      <c r="B868" s="1" t="s">
        <v>67</v>
      </c>
      <c r="C868" s="1">
        <v>51</v>
      </c>
      <c r="D868" s="1" t="s">
        <v>58</v>
      </c>
      <c r="E868" s="8">
        <v>820</v>
      </c>
      <c r="F868" s="1" t="s">
        <v>81</v>
      </c>
      <c r="G868" s="1">
        <v>2020</v>
      </c>
      <c r="H868" s="1" t="str">
        <f>IF(tblFLOWOD[[#This Row],[nama_asal]]=tblFLOWOD[[#This Row],[nama_tujuan]],"keluar","isi")</f>
        <v>isi</v>
      </c>
      <c r="I868" s="1" t="str">
        <f>METADATA_SOURCES!$A$2</f>
        <v>SRC001</v>
      </c>
    </row>
    <row r="869" spans="1:9" x14ac:dyDescent="0.3">
      <c r="A869" s="1">
        <v>72</v>
      </c>
      <c r="B869" s="1" t="s">
        <v>67</v>
      </c>
      <c r="C869" s="1">
        <v>52</v>
      </c>
      <c r="D869" s="1" t="s">
        <v>59</v>
      </c>
      <c r="E869" s="8">
        <v>532</v>
      </c>
      <c r="F869" s="1" t="s">
        <v>81</v>
      </c>
      <c r="G869" s="1">
        <v>2020</v>
      </c>
      <c r="H869" s="1" t="str">
        <f>IF(tblFLOWOD[[#This Row],[nama_asal]]=tblFLOWOD[[#This Row],[nama_tujuan]],"keluar","isi")</f>
        <v>isi</v>
      </c>
      <c r="I869" s="1" t="str">
        <f>METADATA_SOURCES!$A$2</f>
        <v>SRC001</v>
      </c>
    </row>
    <row r="870" spans="1:9" x14ac:dyDescent="0.3">
      <c r="A870" s="1">
        <v>72</v>
      </c>
      <c r="B870" s="1" t="s">
        <v>67</v>
      </c>
      <c r="C870" s="1">
        <v>53</v>
      </c>
      <c r="D870" s="1" t="s">
        <v>60</v>
      </c>
      <c r="E870" s="8">
        <v>254</v>
      </c>
      <c r="F870" s="1" t="s">
        <v>81</v>
      </c>
      <c r="G870" s="1">
        <v>2020</v>
      </c>
      <c r="H870" s="1" t="str">
        <f>IF(tblFLOWOD[[#This Row],[nama_asal]]=tblFLOWOD[[#This Row],[nama_tujuan]],"keluar","isi")</f>
        <v>isi</v>
      </c>
      <c r="I870" s="1" t="str">
        <f>METADATA_SOURCES!$A$2</f>
        <v>SRC001</v>
      </c>
    </row>
    <row r="871" spans="1:9" x14ac:dyDescent="0.3">
      <c r="A871" s="1">
        <v>72</v>
      </c>
      <c r="B871" s="1" t="s">
        <v>67</v>
      </c>
      <c r="C871" s="1">
        <v>61</v>
      </c>
      <c r="D871" s="1" t="s">
        <v>61</v>
      </c>
      <c r="E871" s="8">
        <v>99</v>
      </c>
      <c r="F871" s="1" t="s">
        <v>81</v>
      </c>
      <c r="G871" s="1">
        <v>2020</v>
      </c>
      <c r="H871" s="1" t="str">
        <f>IF(tblFLOWOD[[#This Row],[nama_asal]]=tblFLOWOD[[#This Row],[nama_tujuan]],"keluar","isi")</f>
        <v>isi</v>
      </c>
      <c r="I871" s="1" t="str">
        <f>METADATA_SOURCES!$A$2</f>
        <v>SRC001</v>
      </c>
    </row>
    <row r="872" spans="1:9" x14ac:dyDescent="0.3">
      <c r="A872" s="1">
        <v>72</v>
      </c>
      <c r="B872" s="1" t="s">
        <v>67</v>
      </c>
      <c r="C872" s="1">
        <v>62</v>
      </c>
      <c r="D872" s="1" t="s">
        <v>62</v>
      </c>
      <c r="E872" s="8">
        <v>459</v>
      </c>
      <c r="F872" s="1" t="s">
        <v>81</v>
      </c>
      <c r="G872" s="1">
        <v>2020</v>
      </c>
      <c r="H872" s="1" t="str">
        <f>IF(tblFLOWOD[[#This Row],[nama_asal]]=tblFLOWOD[[#This Row],[nama_tujuan]],"keluar","isi")</f>
        <v>isi</v>
      </c>
      <c r="I872" s="1" t="str">
        <f>METADATA_SOURCES!$A$2</f>
        <v>SRC001</v>
      </c>
    </row>
    <row r="873" spans="1:9" x14ac:dyDescent="0.3">
      <c r="A873" s="1">
        <v>72</v>
      </c>
      <c r="B873" s="1" t="s">
        <v>67</v>
      </c>
      <c r="C873" s="1">
        <v>63</v>
      </c>
      <c r="D873" s="1" t="s">
        <v>63</v>
      </c>
      <c r="E873" s="8">
        <v>202</v>
      </c>
      <c r="F873" s="1" t="s">
        <v>81</v>
      </c>
      <c r="G873" s="1">
        <v>2020</v>
      </c>
      <c r="H873" s="1" t="str">
        <f>IF(tblFLOWOD[[#This Row],[nama_asal]]=tblFLOWOD[[#This Row],[nama_tujuan]],"keluar","isi")</f>
        <v>isi</v>
      </c>
      <c r="I873" s="1" t="str">
        <f>METADATA_SOURCES!$A$2</f>
        <v>SRC001</v>
      </c>
    </row>
    <row r="874" spans="1:9" x14ac:dyDescent="0.3">
      <c r="A874" s="1">
        <v>72</v>
      </c>
      <c r="B874" s="1" t="s">
        <v>67</v>
      </c>
      <c r="C874" s="1">
        <v>64</v>
      </c>
      <c r="D874" s="1" t="s">
        <v>64</v>
      </c>
      <c r="E874" s="8">
        <v>2334</v>
      </c>
      <c r="F874" s="1" t="s">
        <v>81</v>
      </c>
      <c r="G874" s="1">
        <v>2020</v>
      </c>
      <c r="H874" s="1" t="str">
        <f>IF(tblFLOWOD[[#This Row],[nama_asal]]=tblFLOWOD[[#This Row],[nama_tujuan]],"keluar","isi")</f>
        <v>isi</v>
      </c>
      <c r="I874" s="1" t="str">
        <f>METADATA_SOURCES!$A$2</f>
        <v>SRC001</v>
      </c>
    </row>
    <row r="875" spans="1:9" x14ac:dyDescent="0.3">
      <c r="A875" s="1">
        <v>72</v>
      </c>
      <c r="B875" s="1" t="s">
        <v>67</v>
      </c>
      <c r="C875" s="1">
        <v>65</v>
      </c>
      <c r="D875" s="1" t="s">
        <v>65</v>
      </c>
      <c r="E875" s="8">
        <v>1388</v>
      </c>
      <c r="F875" s="1" t="s">
        <v>81</v>
      </c>
      <c r="G875" s="1">
        <v>2020</v>
      </c>
      <c r="H875" s="1" t="str">
        <f>IF(tblFLOWOD[[#This Row],[nama_asal]]=tblFLOWOD[[#This Row],[nama_tujuan]],"keluar","isi")</f>
        <v>isi</v>
      </c>
      <c r="I875" s="1" t="str">
        <f>METADATA_SOURCES!$A$2</f>
        <v>SRC001</v>
      </c>
    </row>
    <row r="876" spans="1:9" x14ac:dyDescent="0.3">
      <c r="A876" s="1">
        <v>72</v>
      </c>
      <c r="B876" s="1" t="s">
        <v>67</v>
      </c>
      <c r="C876" s="1">
        <v>71</v>
      </c>
      <c r="D876" s="1" t="s">
        <v>66</v>
      </c>
      <c r="E876" s="8">
        <v>2951</v>
      </c>
      <c r="F876" s="1" t="s">
        <v>81</v>
      </c>
      <c r="G876" s="1">
        <v>2020</v>
      </c>
      <c r="H876" s="1" t="str">
        <f>IF(tblFLOWOD[[#This Row],[nama_asal]]=tblFLOWOD[[#This Row],[nama_tujuan]],"keluar","isi")</f>
        <v>isi</v>
      </c>
      <c r="I876" s="1" t="str">
        <f>METADATA_SOURCES!$A$2</f>
        <v>SRC001</v>
      </c>
    </row>
    <row r="877" spans="1:9" x14ac:dyDescent="0.3">
      <c r="A877" s="1">
        <v>72</v>
      </c>
      <c r="B877" s="1" t="s">
        <v>67</v>
      </c>
      <c r="C877" s="1">
        <v>72</v>
      </c>
      <c r="D877" s="1" t="s">
        <v>67</v>
      </c>
      <c r="E877" s="8">
        <v>2741996</v>
      </c>
      <c r="F877" s="1" t="s">
        <v>81</v>
      </c>
      <c r="G877" s="1">
        <v>2020</v>
      </c>
      <c r="H877" s="1" t="str">
        <f>IF(tblFLOWOD[[#This Row],[nama_asal]]=tblFLOWOD[[#This Row],[nama_tujuan]],"keluar","isi")</f>
        <v>keluar</v>
      </c>
      <c r="I877" s="1" t="str">
        <f>METADATA_SOURCES!$A$2</f>
        <v>SRC001</v>
      </c>
    </row>
    <row r="878" spans="1:9" x14ac:dyDescent="0.3">
      <c r="A878" s="1">
        <v>72</v>
      </c>
      <c r="B878" s="1" t="s">
        <v>67</v>
      </c>
      <c r="C878" s="1">
        <v>73</v>
      </c>
      <c r="D878" s="1" t="s">
        <v>68</v>
      </c>
      <c r="E878" s="8">
        <v>12121</v>
      </c>
      <c r="F878" s="1" t="s">
        <v>81</v>
      </c>
      <c r="G878" s="1">
        <v>2020</v>
      </c>
      <c r="H878" s="1" t="str">
        <f>IF(tblFLOWOD[[#This Row],[nama_asal]]=tblFLOWOD[[#This Row],[nama_tujuan]],"keluar","isi")</f>
        <v>isi</v>
      </c>
      <c r="I878" s="1" t="str">
        <f>METADATA_SOURCES!$A$2</f>
        <v>SRC001</v>
      </c>
    </row>
    <row r="879" spans="1:9" x14ac:dyDescent="0.3">
      <c r="A879" s="1">
        <v>72</v>
      </c>
      <c r="B879" s="1" t="s">
        <v>67</v>
      </c>
      <c r="C879" s="1">
        <v>74</v>
      </c>
      <c r="D879" s="1" t="s">
        <v>69</v>
      </c>
      <c r="E879" s="8">
        <v>3423</v>
      </c>
      <c r="F879" s="1" t="s">
        <v>81</v>
      </c>
      <c r="G879" s="1">
        <v>2020</v>
      </c>
      <c r="H879" s="1" t="str">
        <f>IF(tblFLOWOD[[#This Row],[nama_asal]]=tblFLOWOD[[#This Row],[nama_tujuan]],"keluar","isi")</f>
        <v>isi</v>
      </c>
      <c r="I879" s="1" t="str">
        <f>METADATA_SOURCES!$A$2</f>
        <v>SRC001</v>
      </c>
    </row>
    <row r="880" spans="1:9" x14ac:dyDescent="0.3">
      <c r="A880" s="1">
        <v>72</v>
      </c>
      <c r="B880" s="1" t="s">
        <v>67</v>
      </c>
      <c r="C880" s="1">
        <v>75</v>
      </c>
      <c r="D880" s="1" t="s">
        <v>70</v>
      </c>
      <c r="E880" s="8">
        <v>5148</v>
      </c>
      <c r="F880" s="1" t="s">
        <v>81</v>
      </c>
      <c r="G880" s="1">
        <v>2020</v>
      </c>
      <c r="H880" s="1" t="str">
        <f>IF(tblFLOWOD[[#This Row],[nama_asal]]=tblFLOWOD[[#This Row],[nama_tujuan]],"keluar","isi")</f>
        <v>isi</v>
      </c>
      <c r="I880" s="1" t="str">
        <f>METADATA_SOURCES!$A$2</f>
        <v>SRC001</v>
      </c>
    </row>
    <row r="881" spans="1:9" x14ac:dyDescent="0.3">
      <c r="A881" s="1">
        <v>72</v>
      </c>
      <c r="B881" s="1" t="s">
        <v>67</v>
      </c>
      <c r="C881" s="1">
        <v>76</v>
      </c>
      <c r="D881" s="1" t="s">
        <v>71</v>
      </c>
      <c r="E881" s="8">
        <v>4714</v>
      </c>
      <c r="F881" s="1" t="s">
        <v>81</v>
      </c>
      <c r="G881" s="1">
        <v>2020</v>
      </c>
      <c r="H881" s="1" t="str">
        <f>IF(tblFLOWOD[[#This Row],[nama_asal]]=tblFLOWOD[[#This Row],[nama_tujuan]],"keluar","isi")</f>
        <v>isi</v>
      </c>
      <c r="I881" s="1" t="str">
        <f>METADATA_SOURCES!$A$2</f>
        <v>SRC001</v>
      </c>
    </row>
    <row r="882" spans="1:9" x14ac:dyDescent="0.3">
      <c r="A882" s="1">
        <v>72</v>
      </c>
      <c r="B882" s="1" t="s">
        <v>67</v>
      </c>
      <c r="C882" s="1">
        <v>81</v>
      </c>
      <c r="D882" s="1" t="s">
        <v>72</v>
      </c>
      <c r="E882" s="8">
        <v>274</v>
      </c>
      <c r="F882" s="1" t="s">
        <v>81</v>
      </c>
      <c r="G882" s="1">
        <v>2020</v>
      </c>
      <c r="H882" s="1" t="str">
        <f>IF(tblFLOWOD[[#This Row],[nama_asal]]=tblFLOWOD[[#This Row],[nama_tujuan]],"keluar","isi")</f>
        <v>isi</v>
      </c>
      <c r="I882" s="1" t="str">
        <f>METADATA_SOURCES!$A$2</f>
        <v>SRC001</v>
      </c>
    </row>
    <row r="883" spans="1:9" x14ac:dyDescent="0.3">
      <c r="A883" s="1">
        <v>72</v>
      </c>
      <c r="B883" s="1" t="s">
        <v>67</v>
      </c>
      <c r="C883" s="1">
        <v>82</v>
      </c>
      <c r="D883" s="1" t="s">
        <v>73</v>
      </c>
      <c r="E883" s="8">
        <v>676</v>
      </c>
      <c r="F883" s="1" t="s">
        <v>81</v>
      </c>
      <c r="G883" s="1">
        <v>2020</v>
      </c>
      <c r="H883" s="1" t="str">
        <f>IF(tblFLOWOD[[#This Row],[nama_asal]]=tblFLOWOD[[#This Row],[nama_tujuan]],"keluar","isi")</f>
        <v>isi</v>
      </c>
      <c r="I883" s="1" t="str">
        <f>METADATA_SOURCES!$A$2</f>
        <v>SRC001</v>
      </c>
    </row>
    <row r="884" spans="1:9" x14ac:dyDescent="0.3">
      <c r="A884" s="1">
        <v>72</v>
      </c>
      <c r="B884" s="1" t="s">
        <v>67</v>
      </c>
      <c r="C884" s="1">
        <v>91</v>
      </c>
      <c r="D884" s="1" t="s">
        <v>74</v>
      </c>
      <c r="E884" s="8">
        <v>484</v>
      </c>
      <c r="F884" s="1" t="s">
        <v>81</v>
      </c>
      <c r="G884" s="1">
        <v>2020</v>
      </c>
      <c r="H884" s="1" t="str">
        <f>IF(tblFLOWOD[[#This Row],[nama_asal]]=tblFLOWOD[[#This Row],[nama_tujuan]],"keluar","isi")</f>
        <v>isi</v>
      </c>
      <c r="I884" s="1" t="str">
        <f>METADATA_SOURCES!$A$2</f>
        <v>SRC001</v>
      </c>
    </row>
    <row r="885" spans="1:9" x14ac:dyDescent="0.3">
      <c r="A885" s="1">
        <v>72</v>
      </c>
      <c r="B885" s="1" t="s">
        <v>67</v>
      </c>
      <c r="C885" s="1">
        <v>94</v>
      </c>
      <c r="D885" s="1" t="s">
        <v>75</v>
      </c>
      <c r="E885" s="8">
        <v>286</v>
      </c>
      <c r="F885" s="1" t="s">
        <v>81</v>
      </c>
      <c r="G885" s="1">
        <v>2020</v>
      </c>
      <c r="H885" s="1" t="str">
        <f>IF(tblFLOWOD[[#This Row],[nama_asal]]=tblFLOWOD[[#This Row],[nama_tujuan]],"keluar","isi")</f>
        <v>isi</v>
      </c>
      <c r="I885" s="1" t="str">
        <f>METADATA_SOURCES!$A$2</f>
        <v>SRC001</v>
      </c>
    </row>
    <row r="886" spans="1:9" x14ac:dyDescent="0.3">
      <c r="A886" s="1">
        <v>73</v>
      </c>
      <c r="B886" s="1" t="s">
        <v>68</v>
      </c>
      <c r="C886" s="1">
        <v>11</v>
      </c>
      <c r="D886" s="1" t="s">
        <v>42</v>
      </c>
      <c r="E886" s="8">
        <v>47</v>
      </c>
      <c r="F886" s="1" t="s">
        <v>81</v>
      </c>
      <c r="G886" s="1">
        <v>2020</v>
      </c>
      <c r="H886" s="1" t="str">
        <f>IF(tblFLOWOD[[#This Row],[nama_asal]]=tblFLOWOD[[#This Row],[nama_tujuan]],"keluar","isi")</f>
        <v>isi</v>
      </c>
      <c r="I886" s="1" t="str">
        <f>METADATA_SOURCES!$A$2</f>
        <v>SRC001</v>
      </c>
    </row>
    <row r="887" spans="1:9" x14ac:dyDescent="0.3">
      <c r="A887" s="1">
        <v>73</v>
      </c>
      <c r="B887" s="1" t="s">
        <v>68</v>
      </c>
      <c r="C887" s="1">
        <v>12</v>
      </c>
      <c r="D887" s="1" t="s">
        <v>43</v>
      </c>
      <c r="E887" s="8">
        <v>726</v>
      </c>
      <c r="F887" s="1" t="s">
        <v>81</v>
      </c>
      <c r="G887" s="1">
        <v>2020</v>
      </c>
      <c r="H887" s="1" t="str">
        <f>IF(tblFLOWOD[[#This Row],[nama_asal]]=tblFLOWOD[[#This Row],[nama_tujuan]],"keluar","isi")</f>
        <v>isi</v>
      </c>
      <c r="I887" s="1" t="str">
        <f>METADATA_SOURCES!$A$2</f>
        <v>SRC001</v>
      </c>
    </row>
    <row r="888" spans="1:9" x14ac:dyDescent="0.3">
      <c r="A888" s="1">
        <v>73</v>
      </c>
      <c r="B888" s="1" t="s">
        <v>68</v>
      </c>
      <c r="C888" s="1">
        <v>13</v>
      </c>
      <c r="D888" s="1" t="s">
        <v>44</v>
      </c>
      <c r="E888" s="8">
        <v>704</v>
      </c>
      <c r="F888" s="1" t="s">
        <v>81</v>
      </c>
      <c r="G888" s="1">
        <v>2020</v>
      </c>
      <c r="H888" s="1" t="str">
        <f>IF(tblFLOWOD[[#This Row],[nama_asal]]=tblFLOWOD[[#This Row],[nama_tujuan]],"keluar","isi")</f>
        <v>isi</v>
      </c>
      <c r="I888" s="1" t="str">
        <f>METADATA_SOURCES!$A$2</f>
        <v>SRC001</v>
      </c>
    </row>
    <row r="889" spans="1:9" x14ac:dyDescent="0.3">
      <c r="A889" s="1">
        <v>73</v>
      </c>
      <c r="B889" s="1" t="s">
        <v>68</v>
      </c>
      <c r="C889" s="1">
        <v>14</v>
      </c>
      <c r="D889" s="1" t="s">
        <v>45</v>
      </c>
      <c r="E889" s="8">
        <v>182</v>
      </c>
      <c r="F889" s="1" t="s">
        <v>81</v>
      </c>
      <c r="G889" s="1">
        <v>2020</v>
      </c>
      <c r="H889" s="1" t="str">
        <f>IF(tblFLOWOD[[#This Row],[nama_asal]]=tblFLOWOD[[#This Row],[nama_tujuan]],"keluar","isi")</f>
        <v>isi</v>
      </c>
      <c r="I889" s="1" t="str">
        <f>METADATA_SOURCES!$A$2</f>
        <v>SRC001</v>
      </c>
    </row>
    <row r="890" spans="1:9" x14ac:dyDescent="0.3">
      <c r="A890" s="1">
        <v>73</v>
      </c>
      <c r="B890" s="1" t="s">
        <v>68</v>
      </c>
      <c r="C890" s="1">
        <v>15</v>
      </c>
      <c r="D890" s="1" t="s">
        <v>46</v>
      </c>
      <c r="E890" s="8">
        <v>124</v>
      </c>
      <c r="F890" s="1" t="s">
        <v>81</v>
      </c>
      <c r="G890" s="1">
        <v>2020</v>
      </c>
      <c r="H890" s="1" t="str">
        <f>IF(tblFLOWOD[[#This Row],[nama_asal]]=tblFLOWOD[[#This Row],[nama_tujuan]],"keluar","isi")</f>
        <v>isi</v>
      </c>
      <c r="I890" s="1" t="str">
        <f>METADATA_SOURCES!$A$2</f>
        <v>SRC001</v>
      </c>
    </row>
    <row r="891" spans="1:9" x14ac:dyDescent="0.3">
      <c r="A891" s="1">
        <v>73</v>
      </c>
      <c r="B891" s="1" t="s">
        <v>68</v>
      </c>
      <c r="C891" s="1">
        <v>16</v>
      </c>
      <c r="D891" s="1" t="s">
        <v>47</v>
      </c>
      <c r="E891" s="8">
        <v>251</v>
      </c>
      <c r="F891" s="1" t="s">
        <v>81</v>
      </c>
      <c r="G891" s="1">
        <v>2020</v>
      </c>
      <c r="H891" s="1" t="str">
        <f>IF(tblFLOWOD[[#This Row],[nama_asal]]=tblFLOWOD[[#This Row],[nama_tujuan]],"keluar","isi")</f>
        <v>isi</v>
      </c>
      <c r="I891" s="1" t="str">
        <f>METADATA_SOURCES!$A$2</f>
        <v>SRC001</v>
      </c>
    </row>
    <row r="892" spans="1:9" x14ac:dyDescent="0.3">
      <c r="A892" s="1">
        <v>73</v>
      </c>
      <c r="B892" s="1" t="s">
        <v>68</v>
      </c>
      <c r="C892" s="1">
        <v>17</v>
      </c>
      <c r="D892" s="1" t="s">
        <v>48</v>
      </c>
      <c r="E892" s="8">
        <v>101</v>
      </c>
      <c r="F892" s="1" t="s">
        <v>81</v>
      </c>
      <c r="G892" s="1">
        <v>2020</v>
      </c>
      <c r="H892" s="1" t="str">
        <f>IF(tblFLOWOD[[#This Row],[nama_asal]]=tblFLOWOD[[#This Row],[nama_tujuan]],"keluar","isi")</f>
        <v>isi</v>
      </c>
      <c r="I892" s="1" t="str">
        <f>METADATA_SOURCES!$A$2</f>
        <v>SRC001</v>
      </c>
    </row>
    <row r="893" spans="1:9" x14ac:dyDescent="0.3">
      <c r="A893" s="1">
        <v>73</v>
      </c>
      <c r="B893" s="1" t="s">
        <v>68</v>
      </c>
      <c r="C893" s="1">
        <v>18</v>
      </c>
      <c r="D893" s="1" t="s">
        <v>49</v>
      </c>
      <c r="E893" s="8">
        <v>616</v>
      </c>
      <c r="F893" s="1" t="s">
        <v>81</v>
      </c>
      <c r="G893" s="1">
        <v>2020</v>
      </c>
      <c r="H893" s="1" t="str">
        <f>IF(tblFLOWOD[[#This Row],[nama_asal]]=tblFLOWOD[[#This Row],[nama_tujuan]],"keluar","isi")</f>
        <v>isi</v>
      </c>
      <c r="I893" s="1" t="str">
        <f>METADATA_SOURCES!$A$2</f>
        <v>SRC001</v>
      </c>
    </row>
    <row r="894" spans="1:9" x14ac:dyDescent="0.3">
      <c r="A894" s="1">
        <v>73</v>
      </c>
      <c r="B894" s="1" t="s">
        <v>68</v>
      </c>
      <c r="C894" s="1">
        <v>19</v>
      </c>
      <c r="D894" s="1" t="s">
        <v>50</v>
      </c>
      <c r="E894" s="8">
        <v>261</v>
      </c>
      <c r="F894" s="1" t="s">
        <v>81</v>
      </c>
      <c r="G894" s="1">
        <v>2020</v>
      </c>
      <c r="H894" s="1" t="str">
        <f>IF(tblFLOWOD[[#This Row],[nama_asal]]=tblFLOWOD[[#This Row],[nama_tujuan]],"keluar","isi")</f>
        <v>isi</v>
      </c>
      <c r="I894" s="1" t="str">
        <f>METADATA_SOURCES!$A$2</f>
        <v>SRC001</v>
      </c>
    </row>
    <row r="895" spans="1:9" x14ac:dyDescent="0.3">
      <c r="A895" s="1">
        <v>73</v>
      </c>
      <c r="B895" s="1" t="s">
        <v>68</v>
      </c>
      <c r="C895" s="1">
        <v>21</v>
      </c>
      <c r="D895" s="1" t="s">
        <v>51</v>
      </c>
      <c r="E895" s="8">
        <v>891</v>
      </c>
      <c r="F895" s="1" t="s">
        <v>81</v>
      </c>
      <c r="G895" s="1">
        <v>2020</v>
      </c>
      <c r="H895" s="1" t="str">
        <f>IF(tblFLOWOD[[#This Row],[nama_asal]]=tblFLOWOD[[#This Row],[nama_tujuan]],"keluar","isi")</f>
        <v>isi</v>
      </c>
      <c r="I895" s="1" t="str">
        <f>METADATA_SOURCES!$A$2</f>
        <v>SRC001</v>
      </c>
    </row>
    <row r="896" spans="1:9" x14ac:dyDescent="0.3">
      <c r="A896" s="1">
        <v>73</v>
      </c>
      <c r="B896" s="1" t="s">
        <v>68</v>
      </c>
      <c r="C896" s="1">
        <v>31</v>
      </c>
      <c r="D896" s="1" t="s">
        <v>52</v>
      </c>
      <c r="E896" s="8">
        <v>2443</v>
      </c>
      <c r="F896" s="1" t="s">
        <v>81</v>
      </c>
      <c r="G896" s="1">
        <v>2020</v>
      </c>
      <c r="H896" s="1" t="str">
        <f>IF(tblFLOWOD[[#This Row],[nama_asal]]=tblFLOWOD[[#This Row],[nama_tujuan]],"keluar","isi")</f>
        <v>isi</v>
      </c>
      <c r="I896" s="1" t="str">
        <f>METADATA_SOURCES!$A$2</f>
        <v>SRC001</v>
      </c>
    </row>
    <row r="897" spans="1:9" x14ac:dyDescent="0.3">
      <c r="A897" s="1">
        <v>73</v>
      </c>
      <c r="B897" s="1" t="s">
        <v>68</v>
      </c>
      <c r="C897" s="1">
        <v>32</v>
      </c>
      <c r="D897" s="1" t="s">
        <v>53</v>
      </c>
      <c r="E897" s="8">
        <v>3129</v>
      </c>
      <c r="F897" s="1" t="s">
        <v>81</v>
      </c>
      <c r="G897" s="1">
        <v>2020</v>
      </c>
      <c r="H897" s="1" t="str">
        <f>IF(tblFLOWOD[[#This Row],[nama_asal]]=tblFLOWOD[[#This Row],[nama_tujuan]],"keluar","isi")</f>
        <v>isi</v>
      </c>
      <c r="I897" s="1" t="str">
        <f>METADATA_SOURCES!$A$2</f>
        <v>SRC001</v>
      </c>
    </row>
    <row r="898" spans="1:9" x14ac:dyDescent="0.3">
      <c r="A898" s="1">
        <v>73</v>
      </c>
      <c r="B898" s="1" t="s">
        <v>68</v>
      </c>
      <c r="C898" s="1">
        <v>33</v>
      </c>
      <c r="D898" s="1" t="s">
        <v>54</v>
      </c>
      <c r="E898" s="8">
        <v>4485</v>
      </c>
      <c r="F898" s="1" t="s">
        <v>81</v>
      </c>
      <c r="G898" s="1">
        <v>2020</v>
      </c>
      <c r="H898" s="1" t="str">
        <f>IF(tblFLOWOD[[#This Row],[nama_asal]]=tblFLOWOD[[#This Row],[nama_tujuan]],"keluar","isi")</f>
        <v>isi</v>
      </c>
      <c r="I898" s="1" t="str">
        <f>METADATA_SOURCES!$A$2</f>
        <v>SRC001</v>
      </c>
    </row>
    <row r="899" spans="1:9" x14ac:dyDescent="0.3">
      <c r="A899" s="1">
        <v>73</v>
      </c>
      <c r="B899" s="1" t="s">
        <v>68</v>
      </c>
      <c r="C899" s="1">
        <v>34</v>
      </c>
      <c r="D899" s="1" t="s">
        <v>55</v>
      </c>
      <c r="E899" s="8">
        <v>1372</v>
      </c>
      <c r="F899" s="1" t="s">
        <v>81</v>
      </c>
      <c r="G899" s="1">
        <v>2020</v>
      </c>
      <c r="H899" s="1" t="str">
        <f>IF(tblFLOWOD[[#This Row],[nama_asal]]=tblFLOWOD[[#This Row],[nama_tujuan]],"keluar","isi")</f>
        <v>isi</v>
      </c>
      <c r="I899" s="1" t="str">
        <f>METADATA_SOURCES!$A$2</f>
        <v>SRC001</v>
      </c>
    </row>
    <row r="900" spans="1:9" x14ac:dyDescent="0.3">
      <c r="A900" s="1">
        <v>73</v>
      </c>
      <c r="B900" s="1" t="s">
        <v>68</v>
      </c>
      <c r="C900" s="1">
        <v>35</v>
      </c>
      <c r="D900" s="1" t="s">
        <v>56</v>
      </c>
      <c r="E900" s="8">
        <v>4764</v>
      </c>
      <c r="F900" s="1" t="s">
        <v>81</v>
      </c>
      <c r="G900" s="1">
        <v>2020</v>
      </c>
      <c r="H900" s="1" t="str">
        <f>IF(tblFLOWOD[[#This Row],[nama_asal]]=tblFLOWOD[[#This Row],[nama_tujuan]],"keluar","isi")</f>
        <v>isi</v>
      </c>
      <c r="I900" s="1" t="str">
        <f>METADATA_SOURCES!$A$2</f>
        <v>SRC001</v>
      </c>
    </row>
    <row r="901" spans="1:9" x14ac:dyDescent="0.3">
      <c r="A901" s="1">
        <v>73</v>
      </c>
      <c r="B901" s="1" t="s">
        <v>68</v>
      </c>
      <c r="C901" s="1">
        <v>36</v>
      </c>
      <c r="D901" s="1" t="s">
        <v>57</v>
      </c>
      <c r="E901" s="8">
        <v>916</v>
      </c>
      <c r="F901" s="1" t="s">
        <v>81</v>
      </c>
      <c r="G901" s="1">
        <v>2020</v>
      </c>
      <c r="H901" s="1" t="str">
        <f>IF(tblFLOWOD[[#This Row],[nama_asal]]=tblFLOWOD[[#This Row],[nama_tujuan]],"keluar","isi")</f>
        <v>isi</v>
      </c>
      <c r="I901" s="1" t="str">
        <f>METADATA_SOURCES!$A$2</f>
        <v>SRC001</v>
      </c>
    </row>
    <row r="902" spans="1:9" x14ac:dyDescent="0.3">
      <c r="A902" s="1">
        <v>73</v>
      </c>
      <c r="B902" s="1" t="s">
        <v>68</v>
      </c>
      <c r="C902" s="1">
        <v>51</v>
      </c>
      <c r="D902" s="1" t="s">
        <v>58</v>
      </c>
      <c r="E902" s="8">
        <v>438</v>
      </c>
      <c r="F902" s="1" t="s">
        <v>81</v>
      </c>
      <c r="G902" s="1">
        <v>2020</v>
      </c>
      <c r="H902" s="1" t="str">
        <f>IF(tblFLOWOD[[#This Row],[nama_asal]]=tblFLOWOD[[#This Row],[nama_tujuan]],"keluar","isi")</f>
        <v>isi</v>
      </c>
      <c r="I902" s="1" t="str">
        <f>METADATA_SOURCES!$A$2</f>
        <v>SRC001</v>
      </c>
    </row>
    <row r="903" spans="1:9" x14ac:dyDescent="0.3">
      <c r="A903" s="1">
        <v>73</v>
      </c>
      <c r="B903" s="1" t="s">
        <v>68</v>
      </c>
      <c r="C903" s="1">
        <v>52</v>
      </c>
      <c r="D903" s="1" t="s">
        <v>59</v>
      </c>
      <c r="E903" s="8">
        <v>4561</v>
      </c>
      <c r="F903" s="1" t="s">
        <v>81</v>
      </c>
      <c r="G903" s="1">
        <v>2020</v>
      </c>
      <c r="H903" s="1" t="str">
        <f>IF(tblFLOWOD[[#This Row],[nama_asal]]=tblFLOWOD[[#This Row],[nama_tujuan]],"keluar","isi")</f>
        <v>isi</v>
      </c>
      <c r="I903" s="1" t="str">
        <f>METADATA_SOURCES!$A$2</f>
        <v>SRC001</v>
      </c>
    </row>
    <row r="904" spans="1:9" x14ac:dyDescent="0.3">
      <c r="A904" s="1">
        <v>73</v>
      </c>
      <c r="B904" s="1" t="s">
        <v>68</v>
      </c>
      <c r="C904" s="1">
        <v>53</v>
      </c>
      <c r="D904" s="1" t="s">
        <v>60</v>
      </c>
      <c r="E904" s="8">
        <v>8903</v>
      </c>
      <c r="F904" s="1" t="s">
        <v>81</v>
      </c>
      <c r="G904" s="1">
        <v>2020</v>
      </c>
      <c r="H904" s="1" t="str">
        <f>IF(tblFLOWOD[[#This Row],[nama_asal]]=tblFLOWOD[[#This Row],[nama_tujuan]],"keluar","isi")</f>
        <v>isi</v>
      </c>
      <c r="I904" s="1" t="str">
        <f>METADATA_SOURCES!$A$2</f>
        <v>SRC001</v>
      </c>
    </row>
    <row r="905" spans="1:9" x14ac:dyDescent="0.3">
      <c r="A905" s="1">
        <v>73</v>
      </c>
      <c r="B905" s="1" t="s">
        <v>68</v>
      </c>
      <c r="C905" s="1">
        <v>61</v>
      </c>
      <c r="D905" s="1" t="s">
        <v>61</v>
      </c>
      <c r="E905" s="8">
        <v>531</v>
      </c>
      <c r="F905" s="1" t="s">
        <v>81</v>
      </c>
      <c r="G905" s="1">
        <v>2020</v>
      </c>
      <c r="H905" s="1" t="str">
        <f>IF(tblFLOWOD[[#This Row],[nama_asal]]=tblFLOWOD[[#This Row],[nama_tujuan]],"keluar","isi")</f>
        <v>isi</v>
      </c>
      <c r="I905" s="1" t="str">
        <f>METADATA_SOURCES!$A$2</f>
        <v>SRC001</v>
      </c>
    </row>
    <row r="906" spans="1:9" x14ac:dyDescent="0.3">
      <c r="A906" s="1">
        <v>73</v>
      </c>
      <c r="B906" s="1" t="s">
        <v>68</v>
      </c>
      <c r="C906" s="1">
        <v>62</v>
      </c>
      <c r="D906" s="1" t="s">
        <v>62</v>
      </c>
      <c r="E906" s="8">
        <v>1397</v>
      </c>
      <c r="F906" s="1" t="s">
        <v>81</v>
      </c>
      <c r="G906" s="1">
        <v>2020</v>
      </c>
      <c r="H906" s="1" t="str">
        <f>IF(tblFLOWOD[[#This Row],[nama_asal]]=tblFLOWOD[[#This Row],[nama_tujuan]],"keluar","isi")</f>
        <v>isi</v>
      </c>
      <c r="I906" s="1" t="str">
        <f>METADATA_SOURCES!$A$2</f>
        <v>SRC001</v>
      </c>
    </row>
    <row r="907" spans="1:9" x14ac:dyDescent="0.3">
      <c r="A907" s="1">
        <v>73</v>
      </c>
      <c r="B907" s="1" t="s">
        <v>68</v>
      </c>
      <c r="C907" s="1">
        <v>63</v>
      </c>
      <c r="D907" s="1" t="s">
        <v>63</v>
      </c>
      <c r="E907" s="8">
        <v>2275</v>
      </c>
      <c r="F907" s="1" t="s">
        <v>81</v>
      </c>
      <c r="G907" s="1">
        <v>2020</v>
      </c>
      <c r="H907" s="1" t="str">
        <f>IF(tblFLOWOD[[#This Row],[nama_asal]]=tblFLOWOD[[#This Row],[nama_tujuan]],"keluar","isi")</f>
        <v>isi</v>
      </c>
      <c r="I907" s="1" t="str">
        <f>METADATA_SOURCES!$A$2</f>
        <v>SRC001</v>
      </c>
    </row>
    <row r="908" spans="1:9" x14ac:dyDescent="0.3">
      <c r="A908" s="1">
        <v>73</v>
      </c>
      <c r="B908" s="1" t="s">
        <v>68</v>
      </c>
      <c r="C908" s="1">
        <v>64</v>
      </c>
      <c r="D908" s="1" t="s">
        <v>64</v>
      </c>
      <c r="E908" s="8">
        <v>25015</v>
      </c>
      <c r="F908" s="1" t="s">
        <v>81</v>
      </c>
      <c r="G908" s="1">
        <v>2020</v>
      </c>
      <c r="H908" s="1" t="str">
        <f>IF(tblFLOWOD[[#This Row],[nama_asal]]=tblFLOWOD[[#This Row],[nama_tujuan]],"keluar","isi")</f>
        <v>isi</v>
      </c>
      <c r="I908" s="1" t="str">
        <f>METADATA_SOURCES!$A$2</f>
        <v>SRC001</v>
      </c>
    </row>
    <row r="909" spans="1:9" x14ac:dyDescent="0.3">
      <c r="A909" s="1">
        <v>73</v>
      </c>
      <c r="B909" s="1" t="s">
        <v>68</v>
      </c>
      <c r="C909" s="1">
        <v>65</v>
      </c>
      <c r="D909" s="1" t="s">
        <v>65</v>
      </c>
      <c r="E909" s="8">
        <v>7906</v>
      </c>
      <c r="F909" s="1" t="s">
        <v>81</v>
      </c>
      <c r="G909" s="1">
        <v>2020</v>
      </c>
      <c r="H909" s="1" t="str">
        <f>IF(tblFLOWOD[[#This Row],[nama_asal]]=tblFLOWOD[[#This Row],[nama_tujuan]],"keluar","isi")</f>
        <v>isi</v>
      </c>
      <c r="I909" s="1" t="str">
        <f>METADATA_SOURCES!$A$2</f>
        <v>SRC001</v>
      </c>
    </row>
    <row r="910" spans="1:9" x14ac:dyDescent="0.3">
      <c r="A910" s="1">
        <v>73</v>
      </c>
      <c r="B910" s="1" t="s">
        <v>68</v>
      </c>
      <c r="C910" s="1">
        <v>71</v>
      </c>
      <c r="D910" s="1" t="s">
        <v>66</v>
      </c>
      <c r="E910" s="8">
        <v>3384</v>
      </c>
      <c r="F910" s="1" t="s">
        <v>81</v>
      </c>
      <c r="G910" s="1">
        <v>2020</v>
      </c>
      <c r="H910" s="1" t="str">
        <f>IF(tblFLOWOD[[#This Row],[nama_asal]]=tblFLOWOD[[#This Row],[nama_tujuan]],"keluar","isi")</f>
        <v>isi</v>
      </c>
      <c r="I910" s="1" t="str">
        <f>METADATA_SOURCES!$A$2</f>
        <v>SRC001</v>
      </c>
    </row>
    <row r="911" spans="1:9" x14ac:dyDescent="0.3">
      <c r="A911" s="1">
        <v>73</v>
      </c>
      <c r="B911" s="1" t="s">
        <v>68</v>
      </c>
      <c r="C911" s="1">
        <v>72</v>
      </c>
      <c r="D911" s="1" t="s">
        <v>67</v>
      </c>
      <c r="E911" s="8">
        <v>15749</v>
      </c>
      <c r="F911" s="1" t="s">
        <v>81</v>
      </c>
      <c r="G911" s="1">
        <v>2020</v>
      </c>
      <c r="H911" s="1" t="str">
        <f>IF(tblFLOWOD[[#This Row],[nama_asal]]=tblFLOWOD[[#This Row],[nama_tujuan]],"keluar","isi")</f>
        <v>isi</v>
      </c>
      <c r="I911" s="1" t="str">
        <f>METADATA_SOURCES!$A$2</f>
        <v>SRC001</v>
      </c>
    </row>
    <row r="912" spans="1:9" x14ac:dyDescent="0.3">
      <c r="A912" s="1">
        <v>73</v>
      </c>
      <c r="B912" s="1" t="s">
        <v>68</v>
      </c>
      <c r="C912" s="1">
        <v>73</v>
      </c>
      <c r="D912" s="1" t="s">
        <v>68</v>
      </c>
      <c r="E912" s="8">
        <v>8331895</v>
      </c>
      <c r="F912" s="1" t="s">
        <v>81</v>
      </c>
      <c r="G912" s="1">
        <v>2020</v>
      </c>
      <c r="H912" s="1" t="str">
        <f>IF(tblFLOWOD[[#This Row],[nama_asal]]=tblFLOWOD[[#This Row],[nama_tujuan]],"keluar","isi")</f>
        <v>keluar</v>
      </c>
      <c r="I912" s="1" t="str">
        <f>METADATA_SOURCES!$A$2</f>
        <v>SRC001</v>
      </c>
    </row>
    <row r="913" spans="1:9" x14ac:dyDescent="0.3">
      <c r="A913" s="1">
        <v>73</v>
      </c>
      <c r="B913" s="1" t="s">
        <v>68</v>
      </c>
      <c r="C913" s="1">
        <v>74</v>
      </c>
      <c r="D913" s="1" t="s">
        <v>69</v>
      </c>
      <c r="E913" s="8">
        <v>24021</v>
      </c>
      <c r="F913" s="1" t="s">
        <v>81</v>
      </c>
      <c r="G913" s="1">
        <v>2020</v>
      </c>
      <c r="H913" s="1" t="str">
        <f>IF(tblFLOWOD[[#This Row],[nama_asal]]=tblFLOWOD[[#This Row],[nama_tujuan]],"keluar","isi")</f>
        <v>isi</v>
      </c>
      <c r="I913" s="1" t="str">
        <f>METADATA_SOURCES!$A$2</f>
        <v>SRC001</v>
      </c>
    </row>
    <row r="914" spans="1:9" x14ac:dyDescent="0.3">
      <c r="A914" s="1">
        <v>73</v>
      </c>
      <c r="B914" s="1" t="s">
        <v>68</v>
      </c>
      <c r="C914" s="1">
        <v>75</v>
      </c>
      <c r="D914" s="1" t="s">
        <v>70</v>
      </c>
      <c r="E914" s="8">
        <v>1483</v>
      </c>
      <c r="F914" s="1" t="s">
        <v>81</v>
      </c>
      <c r="G914" s="1">
        <v>2020</v>
      </c>
      <c r="H914" s="1" t="str">
        <f>IF(tblFLOWOD[[#This Row],[nama_asal]]=tblFLOWOD[[#This Row],[nama_tujuan]],"keluar","isi")</f>
        <v>isi</v>
      </c>
      <c r="I914" s="1" t="str">
        <f>METADATA_SOURCES!$A$2</f>
        <v>SRC001</v>
      </c>
    </row>
    <row r="915" spans="1:9" x14ac:dyDescent="0.3">
      <c r="A915" s="1">
        <v>73</v>
      </c>
      <c r="B915" s="1" t="s">
        <v>68</v>
      </c>
      <c r="C915" s="1">
        <v>76</v>
      </c>
      <c r="D915" s="1" t="s">
        <v>71</v>
      </c>
      <c r="E915" s="8">
        <v>14890</v>
      </c>
      <c r="F915" s="1" t="s">
        <v>81</v>
      </c>
      <c r="G915" s="1">
        <v>2020</v>
      </c>
      <c r="H915" s="1" t="str">
        <f>IF(tblFLOWOD[[#This Row],[nama_asal]]=tblFLOWOD[[#This Row],[nama_tujuan]],"keluar","isi")</f>
        <v>isi</v>
      </c>
      <c r="I915" s="1" t="str">
        <f>METADATA_SOURCES!$A$2</f>
        <v>SRC001</v>
      </c>
    </row>
    <row r="916" spans="1:9" x14ac:dyDescent="0.3">
      <c r="A916" s="1">
        <v>73</v>
      </c>
      <c r="B916" s="1" t="s">
        <v>68</v>
      </c>
      <c r="C916" s="1">
        <v>81</v>
      </c>
      <c r="D916" s="1" t="s">
        <v>72</v>
      </c>
      <c r="E916" s="8">
        <v>2601</v>
      </c>
      <c r="F916" s="1" t="s">
        <v>81</v>
      </c>
      <c r="G916" s="1">
        <v>2020</v>
      </c>
      <c r="H916" s="1" t="str">
        <f>IF(tblFLOWOD[[#This Row],[nama_asal]]=tblFLOWOD[[#This Row],[nama_tujuan]],"keluar","isi")</f>
        <v>isi</v>
      </c>
      <c r="I916" s="1" t="str">
        <f>METADATA_SOURCES!$A$2</f>
        <v>SRC001</v>
      </c>
    </row>
    <row r="917" spans="1:9" x14ac:dyDescent="0.3">
      <c r="A917" s="1">
        <v>73</v>
      </c>
      <c r="B917" s="1" t="s">
        <v>68</v>
      </c>
      <c r="C917" s="1">
        <v>82</v>
      </c>
      <c r="D917" s="1" t="s">
        <v>73</v>
      </c>
      <c r="E917" s="8">
        <v>2514</v>
      </c>
      <c r="F917" s="1" t="s">
        <v>81</v>
      </c>
      <c r="G917" s="1">
        <v>2020</v>
      </c>
      <c r="H917" s="1" t="str">
        <f>IF(tblFLOWOD[[#This Row],[nama_asal]]=tblFLOWOD[[#This Row],[nama_tujuan]],"keluar","isi")</f>
        <v>isi</v>
      </c>
      <c r="I917" s="1" t="str">
        <f>METADATA_SOURCES!$A$2</f>
        <v>SRC001</v>
      </c>
    </row>
    <row r="918" spans="1:9" x14ac:dyDescent="0.3">
      <c r="A918" s="1">
        <v>73</v>
      </c>
      <c r="B918" s="1" t="s">
        <v>68</v>
      </c>
      <c r="C918" s="1">
        <v>91</v>
      </c>
      <c r="D918" s="1" t="s">
        <v>74</v>
      </c>
      <c r="E918" s="8">
        <v>6494</v>
      </c>
      <c r="F918" s="1" t="s">
        <v>81</v>
      </c>
      <c r="G918" s="1">
        <v>2020</v>
      </c>
      <c r="H918" s="1" t="str">
        <f>IF(tblFLOWOD[[#This Row],[nama_asal]]=tblFLOWOD[[#This Row],[nama_tujuan]],"keluar","isi")</f>
        <v>isi</v>
      </c>
      <c r="I918" s="1" t="str">
        <f>METADATA_SOURCES!$A$2</f>
        <v>SRC001</v>
      </c>
    </row>
    <row r="919" spans="1:9" ht="13.8" customHeight="1" x14ac:dyDescent="0.3">
      <c r="A919" s="1">
        <v>73</v>
      </c>
      <c r="B919" s="1" t="s">
        <v>68</v>
      </c>
      <c r="C919" s="1">
        <v>94</v>
      </c>
      <c r="D919" s="1" t="s">
        <v>75</v>
      </c>
      <c r="E919" s="8">
        <v>10497</v>
      </c>
      <c r="F919" s="1" t="s">
        <v>81</v>
      </c>
      <c r="G919" s="1">
        <v>2020</v>
      </c>
      <c r="H919" s="1" t="str">
        <f>IF(tblFLOWOD[[#This Row],[nama_asal]]=tblFLOWOD[[#This Row],[nama_tujuan]],"keluar","isi")</f>
        <v>isi</v>
      </c>
      <c r="I919" s="1" t="str">
        <f>METADATA_SOURCES!$A$2</f>
        <v>SRC001</v>
      </c>
    </row>
    <row r="920" spans="1:9" x14ac:dyDescent="0.3">
      <c r="A920" s="1">
        <v>74</v>
      </c>
      <c r="B920" s="1" t="s">
        <v>69</v>
      </c>
      <c r="C920" s="1">
        <v>11</v>
      </c>
      <c r="D920" s="1" t="s">
        <v>42</v>
      </c>
      <c r="E920" s="8">
        <v>47</v>
      </c>
      <c r="F920" s="1" t="s">
        <v>81</v>
      </c>
      <c r="G920" s="1">
        <v>2020</v>
      </c>
      <c r="H920" s="1" t="str">
        <f>IF(tblFLOWOD[[#This Row],[nama_asal]]=tblFLOWOD[[#This Row],[nama_tujuan]],"keluar","isi")</f>
        <v>isi</v>
      </c>
      <c r="I920" s="1" t="str">
        <f>METADATA_SOURCES!$A$2</f>
        <v>SRC001</v>
      </c>
    </row>
    <row r="921" spans="1:9" x14ac:dyDescent="0.3">
      <c r="A921" s="1">
        <v>74</v>
      </c>
      <c r="B921" s="1" t="s">
        <v>69</v>
      </c>
      <c r="C921" s="1">
        <v>12</v>
      </c>
      <c r="D921" s="1" t="s">
        <v>43</v>
      </c>
      <c r="E921" s="8">
        <v>171</v>
      </c>
      <c r="F921" s="1" t="s">
        <v>81</v>
      </c>
      <c r="G921" s="1">
        <v>2020</v>
      </c>
      <c r="H921" s="1" t="str">
        <f>IF(tblFLOWOD[[#This Row],[nama_asal]]=tblFLOWOD[[#This Row],[nama_tujuan]],"keluar","isi")</f>
        <v>isi</v>
      </c>
      <c r="I921" s="1" t="str">
        <f>METADATA_SOURCES!$A$2</f>
        <v>SRC001</v>
      </c>
    </row>
    <row r="922" spans="1:9" x14ac:dyDescent="0.3">
      <c r="A922" s="1">
        <v>74</v>
      </c>
      <c r="B922" s="1" t="s">
        <v>69</v>
      </c>
      <c r="C922" s="1">
        <v>13</v>
      </c>
      <c r="D922" s="1" t="s">
        <v>44</v>
      </c>
      <c r="E922" s="8">
        <v>126</v>
      </c>
      <c r="F922" s="1" t="s">
        <v>81</v>
      </c>
      <c r="G922" s="1">
        <v>2020</v>
      </c>
      <c r="H922" s="1" t="str">
        <f>IF(tblFLOWOD[[#This Row],[nama_asal]]=tblFLOWOD[[#This Row],[nama_tujuan]],"keluar","isi")</f>
        <v>isi</v>
      </c>
      <c r="I922" s="1" t="str">
        <f>METADATA_SOURCES!$A$2</f>
        <v>SRC001</v>
      </c>
    </row>
    <row r="923" spans="1:9" x14ac:dyDescent="0.3">
      <c r="A923" s="1">
        <v>74</v>
      </c>
      <c r="B923" s="1" t="s">
        <v>69</v>
      </c>
      <c r="C923" s="1">
        <v>14</v>
      </c>
      <c r="D923" s="1" t="s">
        <v>45</v>
      </c>
      <c r="E923" s="8">
        <v>82</v>
      </c>
      <c r="F923" s="1" t="s">
        <v>81</v>
      </c>
      <c r="G923" s="1">
        <v>2020</v>
      </c>
      <c r="H923" s="1" t="str">
        <f>IF(tblFLOWOD[[#This Row],[nama_asal]]=tblFLOWOD[[#This Row],[nama_tujuan]],"keluar","isi")</f>
        <v>isi</v>
      </c>
      <c r="I923" s="1" t="str">
        <f>METADATA_SOURCES!$A$2</f>
        <v>SRC001</v>
      </c>
    </row>
    <row r="924" spans="1:9" x14ac:dyDescent="0.3">
      <c r="A924" s="1">
        <v>74</v>
      </c>
      <c r="B924" s="1" t="s">
        <v>69</v>
      </c>
      <c r="C924" s="1">
        <v>15</v>
      </c>
      <c r="D924" s="1" t="s">
        <v>46</v>
      </c>
      <c r="E924" s="8">
        <v>89</v>
      </c>
      <c r="F924" s="1" t="s">
        <v>81</v>
      </c>
      <c r="G924" s="1">
        <v>2020</v>
      </c>
      <c r="H924" s="1" t="str">
        <f>IF(tblFLOWOD[[#This Row],[nama_asal]]=tblFLOWOD[[#This Row],[nama_tujuan]],"keluar","isi")</f>
        <v>isi</v>
      </c>
      <c r="I924" s="1" t="str">
        <f>METADATA_SOURCES!$A$2</f>
        <v>SRC001</v>
      </c>
    </row>
    <row r="925" spans="1:9" x14ac:dyDescent="0.3">
      <c r="A925" s="1">
        <v>74</v>
      </c>
      <c r="B925" s="1" t="s">
        <v>69</v>
      </c>
      <c r="C925" s="1">
        <v>16</v>
      </c>
      <c r="D925" s="1" t="s">
        <v>47</v>
      </c>
      <c r="E925" s="8">
        <v>84</v>
      </c>
      <c r="F925" s="1" t="s">
        <v>81</v>
      </c>
      <c r="G925" s="1">
        <v>2020</v>
      </c>
      <c r="H925" s="1" t="str">
        <f>IF(tblFLOWOD[[#This Row],[nama_asal]]=tblFLOWOD[[#This Row],[nama_tujuan]],"keluar","isi")</f>
        <v>isi</v>
      </c>
      <c r="I925" s="1" t="str">
        <f>METADATA_SOURCES!$A$2</f>
        <v>SRC001</v>
      </c>
    </row>
    <row r="926" spans="1:9" x14ac:dyDescent="0.3">
      <c r="A926" s="1">
        <v>74</v>
      </c>
      <c r="B926" s="1" t="s">
        <v>69</v>
      </c>
      <c r="C926" s="1">
        <v>17</v>
      </c>
      <c r="D926" s="1" t="s">
        <v>48</v>
      </c>
      <c r="E926" s="8">
        <v>0</v>
      </c>
      <c r="F926" s="1" t="s">
        <v>81</v>
      </c>
      <c r="G926" s="1">
        <v>2020</v>
      </c>
      <c r="H926" s="1" t="str">
        <f>IF(tblFLOWOD[[#This Row],[nama_asal]]=tblFLOWOD[[#This Row],[nama_tujuan]],"keluar","isi")</f>
        <v>isi</v>
      </c>
      <c r="I926" s="1" t="str">
        <f>METADATA_SOURCES!$A$2</f>
        <v>SRC001</v>
      </c>
    </row>
    <row r="927" spans="1:9" x14ac:dyDescent="0.3">
      <c r="A927" s="1">
        <v>74</v>
      </c>
      <c r="B927" s="1" t="s">
        <v>69</v>
      </c>
      <c r="C927" s="1">
        <v>18</v>
      </c>
      <c r="D927" s="1" t="s">
        <v>49</v>
      </c>
      <c r="E927" s="8">
        <v>109</v>
      </c>
      <c r="F927" s="1" t="s">
        <v>81</v>
      </c>
      <c r="G927" s="1">
        <v>2020</v>
      </c>
      <c r="H927" s="1" t="str">
        <f>IF(tblFLOWOD[[#This Row],[nama_asal]]=tblFLOWOD[[#This Row],[nama_tujuan]],"keluar","isi")</f>
        <v>isi</v>
      </c>
      <c r="I927" s="1" t="str">
        <f>METADATA_SOURCES!$A$2</f>
        <v>SRC001</v>
      </c>
    </row>
    <row r="928" spans="1:9" x14ac:dyDescent="0.3">
      <c r="A928" s="1">
        <v>74</v>
      </c>
      <c r="B928" s="1" t="s">
        <v>69</v>
      </c>
      <c r="C928" s="1">
        <v>19</v>
      </c>
      <c r="D928" s="1" t="s">
        <v>50</v>
      </c>
      <c r="E928" s="8">
        <v>378</v>
      </c>
      <c r="F928" s="1" t="s">
        <v>81</v>
      </c>
      <c r="G928" s="1">
        <v>2020</v>
      </c>
      <c r="H928" s="1" t="str">
        <f>IF(tblFLOWOD[[#This Row],[nama_asal]]=tblFLOWOD[[#This Row],[nama_tujuan]],"keluar","isi")</f>
        <v>isi</v>
      </c>
      <c r="I928" s="1" t="str">
        <f>METADATA_SOURCES!$A$2</f>
        <v>SRC001</v>
      </c>
    </row>
    <row r="929" spans="1:9" x14ac:dyDescent="0.3">
      <c r="A929" s="1">
        <v>74</v>
      </c>
      <c r="B929" s="1" t="s">
        <v>69</v>
      </c>
      <c r="C929" s="1">
        <v>21</v>
      </c>
      <c r="D929" s="1" t="s">
        <v>51</v>
      </c>
      <c r="E929" s="8">
        <v>607</v>
      </c>
      <c r="F929" s="1" t="s">
        <v>81</v>
      </c>
      <c r="G929" s="1">
        <v>2020</v>
      </c>
      <c r="H929" s="1" t="str">
        <f>IF(tblFLOWOD[[#This Row],[nama_asal]]=tblFLOWOD[[#This Row],[nama_tujuan]],"keluar","isi")</f>
        <v>isi</v>
      </c>
      <c r="I929" s="1" t="str">
        <f>METADATA_SOURCES!$A$2</f>
        <v>SRC001</v>
      </c>
    </row>
    <row r="930" spans="1:9" x14ac:dyDescent="0.3">
      <c r="A930" s="1">
        <v>74</v>
      </c>
      <c r="B930" s="1" t="s">
        <v>69</v>
      </c>
      <c r="C930" s="1">
        <v>31</v>
      </c>
      <c r="D930" s="1" t="s">
        <v>52</v>
      </c>
      <c r="E930" s="8">
        <v>112</v>
      </c>
      <c r="F930" s="1" t="s">
        <v>81</v>
      </c>
      <c r="G930" s="1">
        <v>2020</v>
      </c>
      <c r="H930" s="1" t="str">
        <f>IF(tblFLOWOD[[#This Row],[nama_asal]]=tblFLOWOD[[#This Row],[nama_tujuan]],"keluar","isi")</f>
        <v>isi</v>
      </c>
      <c r="I930" s="1" t="str">
        <f>METADATA_SOURCES!$A$2</f>
        <v>SRC001</v>
      </c>
    </row>
    <row r="931" spans="1:9" x14ac:dyDescent="0.3">
      <c r="A931" s="1">
        <v>74</v>
      </c>
      <c r="B931" s="1" t="s">
        <v>69</v>
      </c>
      <c r="C931" s="1">
        <v>32</v>
      </c>
      <c r="D931" s="1" t="s">
        <v>53</v>
      </c>
      <c r="E931" s="8">
        <v>900</v>
      </c>
      <c r="F931" s="1" t="s">
        <v>81</v>
      </c>
      <c r="G931" s="1">
        <v>2020</v>
      </c>
      <c r="H931" s="1" t="str">
        <f>IF(tblFLOWOD[[#This Row],[nama_asal]]=tblFLOWOD[[#This Row],[nama_tujuan]],"keluar","isi")</f>
        <v>isi</v>
      </c>
      <c r="I931" s="1" t="str">
        <f>METADATA_SOURCES!$A$2</f>
        <v>SRC001</v>
      </c>
    </row>
    <row r="932" spans="1:9" x14ac:dyDescent="0.3">
      <c r="A932" s="1">
        <v>74</v>
      </c>
      <c r="B932" s="1" t="s">
        <v>69</v>
      </c>
      <c r="C932" s="1">
        <v>33</v>
      </c>
      <c r="D932" s="1" t="s">
        <v>54</v>
      </c>
      <c r="E932" s="8">
        <v>1163</v>
      </c>
      <c r="F932" s="1" t="s">
        <v>81</v>
      </c>
      <c r="G932" s="1">
        <v>2020</v>
      </c>
      <c r="H932" s="1" t="str">
        <f>IF(tblFLOWOD[[#This Row],[nama_asal]]=tblFLOWOD[[#This Row],[nama_tujuan]],"keluar","isi")</f>
        <v>isi</v>
      </c>
      <c r="I932" s="1" t="str">
        <f>METADATA_SOURCES!$A$2</f>
        <v>SRC001</v>
      </c>
    </row>
    <row r="933" spans="1:9" x14ac:dyDescent="0.3">
      <c r="A933" s="1">
        <v>74</v>
      </c>
      <c r="B933" s="1" t="s">
        <v>69</v>
      </c>
      <c r="C933" s="1">
        <v>34</v>
      </c>
      <c r="D933" s="1" t="s">
        <v>55</v>
      </c>
      <c r="E933" s="8">
        <v>877</v>
      </c>
      <c r="F933" s="1" t="s">
        <v>81</v>
      </c>
      <c r="G933" s="1">
        <v>2020</v>
      </c>
      <c r="H933" s="1" t="str">
        <f>IF(tblFLOWOD[[#This Row],[nama_asal]]=tblFLOWOD[[#This Row],[nama_tujuan]],"keluar","isi")</f>
        <v>isi</v>
      </c>
      <c r="I933" s="1" t="str">
        <f>METADATA_SOURCES!$A$2</f>
        <v>SRC001</v>
      </c>
    </row>
    <row r="934" spans="1:9" x14ac:dyDescent="0.3">
      <c r="A934" s="1">
        <v>74</v>
      </c>
      <c r="B934" s="1" t="s">
        <v>69</v>
      </c>
      <c r="C934" s="1">
        <v>35</v>
      </c>
      <c r="D934" s="1" t="s">
        <v>56</v>
      </c>
      <c r="E934" s="8">
        <v>1339</v>
      </c>
      <c r="F934" s="1" t="s">
        <v>81</v>
      </c>
      <c r="G934" s="1">
        <v>2020</v>
      </c>
      <c r="H934" s="1" t="str">
        <f>IF(tblFLOWOD[[#This Row],[nama_asal]]=tblFLOWOD[[#This Row],[nama_tujuan]],"keluar","isi")</f>
        <v>isi</v>
      </c>
      <c r="I934" s="1" t="str">
        <f>METADATA_SOURCES!$A$2</f>
        <v>SRC001</v>
      </c>
    </row>
    <row r="935" spans="1:9" x14ac:dyDescent="0.3">
      <c r="A935" s="1">
        <v>74</v>
      </c>
      <c r="B935" s="1" t="s">
        <v>69</v>
      </c>
      <c r="C935" s="1">
        <v>36</v>
      </c>
      <c r="D935" s="1" t="s">
        <v>57</v>
      </c>
      <c r="E935" s="8">
        <v>162</v>
      </c>
      <c r="F935" s="1" t="s">
        <v>81</v>
      </c>
      <c r="G935" s="1">
        <v>2020</v>
      </c>
      <c r="H935" s="1" t="str">
        <f>IF(tblFLOWOD[[#This Row],[nama_asal]]=tblFLOWOD[[#This Row],[nama_tujuan]],"keluar","isi")</f>
        <v>isi</v>
      </c>
      <c r="I935" s="1" t="str">
        <f>METADATA_SOURCES!$A$2</f>
        <v>SRC001</v>
      </c>
    </row>
    <row r="936" spans="1:9" x14ac:dyDescent="0.3">
      <c r="A936" s="1">
        <v>74</v>
      </c>
      <c r="B936" s="1" t="s">
        <v>69</v>
      </c>
      <c r="C936" s="1">
        <v>51</v>
      </c>
      <c r="D936" s="1" t="s">
        <v>58</v>
      </c>
      <c r="E936" s="8">
        <v>334</v>
      </c>
      <c r="F936" s="1" t="s">
        <v>81</v>
      </c>
      <c r="G936" s="1">
        <v>2020</v>
      </c>
      <c r="H936" s="1" t="str">
        <f>IF(tblFLOWOD[[#This Row],[nama_asal]]=tblFLOWOD[[#This Row],[nama_tujuan]],"keluar","isi")</f>
        <v>isi</v>
      </c>
      <c r="I936" s="1" t="str">
        <f>METADATA_SOURCES!$A$2</f>
        <v>SRC001</v>
      </c>
    </row>
    <row r="937" spans="1:9" x14ac:dyDescent="0.3">
      <c r="A937" s="1">
        <v>74</v>
      </c>
      <c r="B937" s="1" t="s">
        <v>69</v>
      </c>
      <c r="C937" s="1">
        <v>52</v>
      </c>
      <c r="D937" s="1" t="s">
        <v>59</v>
      </c>
      <c r="E937" s="8">
        <v>238</v>
      </c>
      <c r="F937" s="1" t="s">
        <v>81</v>
      </c>
      <c r="G937" s="1">
        <v>2020</v>
      </c>
      <c r="H937" s="1" t="str">
        <f>IF(tblFLOWOD[[#This Row],[nama_asal]]=tblFLOWOD[[#This Row],[nama_tujuan]],"keluar","isi")</f>
        <v>isi</v>
      </c>
      <c r="I937" s="1" t="str">
        <f>METADATA_SOURCES!$A$2</f>
        <v>SRC001</v>
      </c>
    </row>
    <row r="938" spans="1:9" x14ac:dyDescent="0.3">
      <c r="A938" s="1">
        <v>74</v>
      </c>
      <c r="B938" s="1" t="s">
        <v>69</v>
      </c>
      <c r="C938" s="1">
        <v>53</v>
      </c>
      <c r="D938" s="1" t="s">
        <v>60</v>
      </c>
      <c r="E938" s="8">
        <v>380</v>
      </c>
      <c r="F938" s="1" t="s">
        <v>81</v>
      </c>
      <c r="G938" s="1">
        <v>2020</v>
      </c>
      <c r="H938" s="1" t="str">
        <f>IF(tblFLOWOD[[#This Row],[nama_asal]]=tblFLOWOD[[#This Row],[nama_tujuan]],"keluar","isi")</f>
        <v>isi</v>
      </c>
      <c r="I938" s="1" t="str">
        <f>METADATA_SOURCES!$A$2</f>
        <v>SRC001</v>
      </c>
    </row>
    <row r="939" spans="1:9" x14ac:dyDescent="0.3">
      <c r="A939" s="1">
        <v>74</v>
      </c>
      <c r="B939" s="1" t="s">
        <v>69</v>
      </c>
      <c r="C939" s="1">
        <v>61</v>
      </c>
      <c r="D939" s="1" t="s">
        <v>61</v>
      </c>
      <c r="E939" s="8">
        <v>137</v>
      </c>
      <c r="F939" s="1" t="s">
        <v>81</v>
      </c>
      <c r="G939" s="1">
        <v>2020</v>
      </c>
      <c r="H939" s="1" t="str">
        <f>IF(tblFLOWOD[[#This Row],[nama_asal]]=tblFLOWOD[[#This Row],[nama_tujuan]],"keluar","isi")</f>
        <v>isi</v>
      </c>
      <c r="I939" s="1" t="str">
        <f>METADATA_SOURCES!$A$2</f>
        <v>SRC001</v>
      </c>
    </row>
    <row r="940" spans="1:9" x14ac:dyDescent="0.3">
      <c r="A940" s="1">
        <v>74</v>
      </c>
      <c r="B940" s="1" t="s">
        <v>69</v>
      </c>
      <c r="C940" s="1">
        <v>62</v>
      </c>
      <c r="D940" s="1" t="s">
        <v>62</v>
      </c>
      <c r="E940" s="8">
        <v>73</v>
      </c>
      <c r="F940" s="1" t="s">
        <v>81</v>
      </c>
      <c r="G940" s="1">
        <v>2020</v>
      </c>
      <c r="H940" s="1" t="str">
        <f>IF(tblFLOWOD[[#This Row],[nama_asal]]=tblFLOWOD[[#This Row],[nama_tujuan]],"keluar","isi")</f>
        <v>isi</v>
      </c>
      <c r="I940" s="1" t="str">
        <f>METADATA_SOURCES!$A$2</f>
        <v>SRC001</v>
      </c>
    </row>
    <row r="941" spans="1:9" x14ac:dyDescent="0.3">
      <c r="A941" s="1">
        <v>74</v>
      </c>
      <c r="B941" s="1" t="s">
        <v>69</v>
      </c>
      <c r="C941" s="1">
        <v>63</v>
      </c>
      <c r="D941" s="1" t="s">
        <v>63</v>
      </c>
      <c r="E941" s="8">
        <v>58</v>
      </c>
      <c r="F941" s="1" t="s">
        <v>81</v>
      </c>
      <c r="G941" s="1">
        <v>2020</v>
      </c>
      <c r="H941" s="1" t="str">
        <f>IF(tblFLOWOD[[#This Row],[nama_asal]]=tblFLOWOD[[#This Row],[nama_tujuan]],"keluar","isi")</f>
        <v>isi</v>
      </c>
      <c r="I941" s="1" t="str">
        <f>METADATA_SOURCES!$A$2</f>
        <v>SRC001</v>
      </c>
    </row>
    <row r="942" spans="1:9" x14ac:dyDescent="0.3">
      <c r="A942" s="1">
        <v>74</v>
      </c>
      <c r="B942" s="1" t="s">
        <v>69</v>
      </c>
      <c r="C942" s="1">
        <v>64</v>
      </c>
      <c r="D942" s="1" t="s">
        <v>64</v>
      </c>
      <c r="E942" s="8">
        <v>1387</v>
      </c>
      <c r="F942" s="1" t="s">
        <v>81</v>
      </c>
      <c r="G942" s="1">
        <v>2020</v>
      </c>
      <c r="H942" s="1" t="str">
        <f>IF(tblFLOWOD[[#This Row],[nama_asal]]=tblFLOWOD[[#This Row],[nama_tujuan]],"keluar","isi")</f>
        <v>isi</v>
      </c>
      <c r="I942" s="1" t="str">
        <f>METADATA_SOURCES!$A$2</f>
        <v>SRC001</v>
      </c>
    </row>
    <row r="943" spans="1:9" x14ac:dyDescent="0.3">
      <c r="A943" s="1">
        <v>74</v>
      </c>
      <c r="B943" s="1" t="s">
        <v>69</v>
      </c>
      <c r="C943" s="1">
        <v>65</v>
      </c>
      <c r="D943" s="1" t="s">
        <v>65</v>
      </c>
      <c r="E943" s="8">
        <v>462</v>
      </c>
      <c r="F943" s="1" t="s">
        <v>81</v>
      </c>
      <c r="G943" s="1">
        <v>2020</v>
      </c>
      <c r="H943" s="1" t="str">
        <f>IF(tblFLOWOD[[#This Row],[nama_asal]]=tblFLOWOD[[#This Row],[nama_tujuan]],"keluar","isi")</f>
        <v>isi</v>
      </c>
      <c r="I943" s="1" t="str">
        <f>METADATA_SOURCES!$A$2</f>
        <v>SRC001</v>
      </c>
    </row>
    <row r="944" spans="1:9" x14ac:dyDescent="0.3">
      <c r="A944" s="1">
        <v>74</v>
      </c>
      <c r="B944" s="1" t="s">
        <v>69</v>
      </c>
      <c r="C944" s="1">
        <v>71</v>
      </c>
      <c r="D944" s="1" t="s">
        <v>66</v>
      </c>
      <c r="E944" s="8">
        <v>361</v>
      </c>
      <c r="F944" s="1" t="s">
        <v>81</v>
      </c>
      <c r="G944" s="1">
        <v>2020</v>
      </c>
      <c r="H944" s="1" t="str">
        <f>IF(tblFLOWOD[[#This Row],[nama_asal]]=tblFLOWOD[[#This Row],[nama_tujuan]],"keluar","isi")</f>
        <v>isi</v>
      </c>
      <c r="I944" s="1" t="str">
        <f>METADATA_SOURCES!$A$2</f>
        <v>SRC001</v>
      </c>
    </row>
    <row r="945" spans="1:9" x14ac:dyDescent="0.3">
      <c r="A945" s="1">
        <v>74</v>
      </c>
      <c r="B945" s="1" t="s">
        <v>69</v>
      </c>
      <c r="C945" s="1">
        <v>72</v>
      </c>
      <c r="D945" s="1" t="s">
        <v>67</v>
      </c>
      <c r="E945" s="8">
        <v>2301</v>
      </c>
      <c r="F945" s="1" t="s">
        <v>81</v>
      </c>
      <c r="G945" s="1">
        <v>2020</v>
      </c>
      <c r="H945" s="1" t="str">
        <f>IF(tblFLOWOD[[#This Row],[nama_asal]]=tblFLOWOD[[#This Row],[nama_tujuan]],"keluar","isi")</f>
        <v>isi</v>
      </c>
      <c r="I945" s="1" t="str">
        <f>METADATA_SOURCES!$A$2</f>
        <v>SRC001</v>
      </c>
    </row>
    <row r="946" spans="1:9" x14ac:dyDescent="0.3">
      <c r="A946" s="1">
        <v>74</v>
      </c>
      <c r="B946" s="1" t="s">
        <v>69</v>
      </c>
      <c r="C946" s="1">
        <v>73</v>
      </c>
      <c r="D946" s="1" t="s">
        <v>68</v>
      </c>
      <c r="E946" s="8">
        <v>12745</v>
      </c>
      <c r="F946" s="1" t="s">
        <v>81</v>
      </c>
      <c r="G946" s="1">
        <v>2020</v>
      </c>
      <c r="H946" s="1" t="str">
        <f>IF(tblFLOWOD[[#This Row],[nama_asal]]=tblFLOWOD[[#This Row],[nama_tujuan]],"keluar","isi")</f>
        <v>isi</v>
      </c>
      <c r="I946" s="1" t="str">
        <f>METADATA_SOURCES!$A$2</f>
        <v>SRC001</v>
      </c>
    </row>
    <row r="947" spans="1:9" x14ac:dyDescent="0.3">
      <c r="A947" s="1">
        <v>74</v>
      </c>
      <c r="B947" s="1" t="s">
        <v>69</v>
      </c>
      <c r="C947" s="1">
        <v>74</v>
      </c>
      <c r="D947" s="1" t="s">
        <v>69</v>
      </c>
      <c r="E947" s="8">
        <v>2369492</v>
      </c>
      <c r="F947" s="1" t="s">
        <v>81</v>
      </c>
      <c r="G947" s="1">
        <v>2020</v>
      </c>
      <c r="H947" s="1" t="str">
        <f>IF(tblFLOWOD[[#This Row],[nama_asal]]=tblFLOWOD[[#This Row],[nama_tujuan]],"keluar","isi")</f>
        <v>keluar</v>
      </c>
      <c r="I947" s="1" t="str">
        <f>METADATA_SOURCES!$A$2</f>
        <v>SRC001</v>
      </c>
    </row>
    <row r="948" spans="1:9" x14ac:dyDescent="0.3">
      <c r="A948" s="1">
        <v>74</v>
      </c>
      <c r="B948" s="1" t="s">
        <v>69</v>
      </c>
      <c r="C948" s="1">
        <v>75</v>
      </c>
      <c r="D948" s="1" t="s">
        <v>70</v>
      </c>
      <c r="E948" s="8">
        <v>342</v>
      </c>
      <c r="F948" s="1" t="s">
        <v>81</v>
      </c>
      <c r="G948" s="1">
        <v>2020</v>
      </c>
      <c r="H948" s="1" t="str">
        <f>IF(tblFLOWOD[[#This Row],[nama_asal]]=tblFLOWOD[[#This Row],[nama_tujuan]],"keluar","isi")</f>
        <v>isi</v>
      </c>
      <c r="I948" s="1" t="str">
        <f>METADATA_SOURCES!$A$2</f>
        <v>SRC001</v>
      </c>
    </row>
    <row r="949" spans="1:9" x14ac:dyDescent="0.3">
      <c r="A949" s="1">
        <v>74</v>
      </c>
      <c r="B949" s="1" t="s">
        <v>69</v>
      </c>
      <c r="C949" s="1">
        <v>76</v>
      </c>
      <c r="D949" s="1" t="s">
        <v>71</v>
      </c>
      <c r="E949" s="8">
        <v>661</v>
      </c>
      <c r="F949" s="1" t="s">
        <v>81</v>
      </c>
      <c r="G949" s="1">
        <v>2020</v>
      </c>
      <c r="H949" s="1" t="str">
        <f>IF(tblFLOWOD[[#This Row],[nama_asal]]=tblFLOWOD[[#This Row],[nama_tujuan]],"keluar","isi")</f>
        <v>isi</v>
      </c>
      <c r="I949" s="1" t="str">
        <f>METADATA_SOURCES!$A$2</f>
        <v>SRC001</v>
      </c>
    </row>
    <row r="950" spans="1:9" x14ac:dyDescent="0.3">
      <c r="A950" s="1">
        <v>74</v>
      </c>
      <c r="B950" s="1" t="s">
        <v>69</v>
      </c>
      <c r="C950" s="1">
        <v>81</v>
      </c>
      <c r="D950" s="1" t="s">
        <v>72</v>
      </c>
      <c r="E950" s="8">
        <v>2879</v>
      </c>
      <c r="F950" s="1" t="s">
        <v>81</v>
      </c>
      <c r="G950" s="1">
        <v>2020</v>
      </c>
      <c r="H950" s="1" t="str">
        <f>IF(tblFLOWOD[[#This Row],[nama_asal]]=tblFLOWOD[[#This Row],[nama_tujuan]],"keluar","isi")</f>
        <v>isi</v>
      </c>
      <c r="I950" s="1" t="str">
        <f>METADATA_SOURCES!$A$2</f>
        <v>SRC001</v>
      </c>
    </row>
    <row r="951" spans="1:9" x14ac:dyDescent="0.3">
      <c r="A951" s="1">
        <v>74</v>
      </c>
      <c r="B951" s="1" t="s">
        <v>69</v>
      </c>
      <c r="C951" s="1">
        <v>82</v>
      </c>
      <c r="D951" s="1" t="s">
        <v>73</v>
      </c>
      <c r="E951" s="8">
        <v>2217</v>
      </c>
      <c r="F951" s="1" t="s">
        <v>81</v>
      </c>
      <c r="G951" s="1">
        <v>2020</v>
      </c>
      <c r="H951" s="1" t="str">
        <f>IF(tblFLOWOD[[#This Row],[nama_asal]]=tblFLOWOD[[#This Row],[nama_tujuan]],"keluar","isi")</f>
        <v>isi</v>
      </c>
      <c r="I951" s="1" t="str">
        <f>METADATA_SOURCES!$A$2</f>
        <v>SRC001</v>
      </c>
    </row>
    <row r="952" spans="1:9" x14ac:dyDescent="0.3">
      <c r="A952" s="1">
        <v>74</v>
      </c>
      <c r="B952" s="1" t="s">
        <v>69</v>
      </c>
      <c r="C952" s="1">
        <v>91</v>
      </c>
      <c r="D952" s="1" t="s">
        <v>74</v>
      </c>
      <c r="E952" s="8">
        <v>2754</v>
      </c>
      <c r="F952" s="1" t="s">
        <v>81</v>
      </c>
      <c r="G952" s="1">
        <v>2020</v>
      </c>
      <c r="H952" s="1" t="str">
        <f>IF(tblFLOWOD[[#This Row],[nama_asal]]=tblFLOWOD[[#This Row],[nama_tujuan]],"keluar","isi")</f>
        <v>isi</v>
      </c>
      <c r="I952" s="1" t="str">
        <f>METADATA_SOURCES!$A$2</f>
        <v>SRC001</v>
      </c>
    </row>
    <row r="953" spans="1:9" x14ac:dyDescent="0.3">
      <c r="A953" s="1">
        <v>74</v>
      </c>
      <c r="B953" s="1" t="s">
        <v>69</v>
      </c>
      <c r="C953" s="1">
        <v>94</v>
      </c>
      <c r="D953" s="1" t="s">
        <v>75</v>
      </c>
      <c r="E953" s="8">
        <v>2348</v>
      </c>
      <c r="F953" s="1" t="s">
        <v>81</v>
      </c>
      <c r="G953" s="1">
        <v>2020</v>
      </c>
      <c r="H953" s="1" t="str">
        <f>IF(tblFLOWOD[[#This Row],[nama_asal]]=tblFLOWOD[[#This Row],[nama_tujuan]],"keluar","isi")</f>
        <v>isi</v>
      </c>
      <c r="I953" s="1" t="str">
        <f>METADATA_SOURCES!$A$2</f>
        <v>SRC001</v>
      </c>
    </row>
    <row r="954" spans="1:9" x14ac:dyDescent="0.3">
      <c r="A954" s="1">
        <v>75</v>
      </c>
      <c r="B954" s="1" t="s">
        <v>70</v>
      </c>
      <c r="C954" s="1">
        <v>11</v>
      </c>
      <c r="D954" s="1" t="s">
        <v>42</v>
      </c>
      <c r="E954" s="8">
        <v>14</v>
      </c>
      <c r="F954" s="1" t="s">
        <v>81</v>
      </c>
      <c r="G954" s="1">
        <v>2020</v>
      </c>
      <c r="H954" s="1" t="str">
        <f>IF(tblFLOWOD[[#This Row],[nama_asal]]=tblFLOWOD[[#This Row],[nama_tujuan]],"keluar","isi")</f>
        <v>isi</v>
      </c>
      <c r="I954" s="1" t="str">
        <f>METADATA_SOURCES!$A$2</f>
        <v>SRC001</v>
      </c>
    </row>
    <row r="955" spans="1:9" x14ac:dyDescent="0.3">
      <c r="A955" s="1">
        <v>75</v>
      </c>
      <c r="B955" s="1" t="s">
        <v>70</v>
      </c>
      <c r="C955" s="1">
        <v>12</v>
      </c>
      <c r="D955" s="1" t="s">
        <v>43</v>
      </c>
      <c r="E955" s="8">
        <v>57</v>
      </c>
      <c r="F955" s="1" t="s">
        <v>81</v>
      </c>
      <c r="G955" s="1">
        <v>2020</v>
      </c>
      <c r="H955" s="1" t="str">
        <f>IF(tblFLOWOD[[#This Row],[nama_asal]]=tblFLOWOD[[#This Row],[nama_tujuan]],"keluar","isi")</f>
        <v>isi</v>
      </c>
      <c r="I955" s="1" t="str">
        <f>METADATA_SOURCES!$A$2</f>
        <v>SRC001</v>
      </c>
    </row>
    <row r="956" spans="1:9" x14ac:dyDescent="0.3">
      <c r="A956" s="1">
        <v>75</v>
      </c>
      <c r="B956" s="1" t="s">
        <v>70</v>
      </c>
      <c r="C956" s="1">
        <v>13</v>
      </c>
      <c r="D956" s="1" t="s">
        <v>44</v>
      </c>
      <c r="E956" s="8">
        <v>38</v>
      </c>
      <c r="F956" s="1" t="s">
        <v>81</v>
      </c>
      <c r="G956" s="1">
        <v>2020</v>
      </c>
      <c r="H956" s="1" t="str">
        <f>IF(tblFLOWOD[[#This Row],[nama_asal]]=tblFLOWOD[[#This Row],[nama_tujuan]],"keluar","isi")</f>
        <v>isi</v>
      </c>
      <c r="I956" s="1" t="str">
        <f>METADATA_SOURCES!$A$2</f>
        <v>SRC001</v>
      </c>
    </row>
    <row r="957" spans="1:9" x14ac:dyDescent="0.3">
      <c r="A957" s="1">
        <v>75</v>
      </c>
      <c r="B957" s="1" t="s">
        <v>70</v>
      </c>
      <c r="C957" s="1">
        <v>14</v>
      </c>
      <c r="D957" s="1" t="s">
        <v>45</v>
      </c>
      <c r="E957" s="8">
        <v>31</v>
      </c>
      <c r="F957" s="1" t="s">
        <v>81</v>
      </c>
      <c r="G957" s="1">
        <v>2020</v>
      </c>
      <c r="H957" s="1" t="str">
        <f>IF(tblFLOWOD[[#This Row],[nama_asal]]=tblFLOWOD[[#This Row],[nama_tujuan]],"keluar","isi")</f>
        <v>isi</v>
      </c>
      <c r="I957" s="1" t="str">
        <f>METADATA_SOURCES!$A$2</f>
        <v>SRC001</v>
      </c>
    </row>
    <row r="958" spans="1:9" x14ac:dyDescent="0.3">
      <c r="A958" s="1">
        <v>75</v>
      </c>
      <c r="B958" s="1" t="s">
        <v>70</v>
      </c>
      <c r="C958" s="1">
        <v>15</v>
      </c>
      <c r="D958" s="1" t="s">
        <v>46</v>
      </c>
      <c r="E958" s="8">
        <v>0</v>
      </c>
      <c r="F958" s="1" t="s">
        <v>81</v>
      </c>
      <c r="G958" s="1">
        <v>2020</v>
      </c>
      <c r="H958" s="1" t="str">
        <f>IF(tblFLOWOD[[#This Row],[nama_asal]]=tblFLOWOD[[#This Row],[nama_tujuan]],"keluar","isi")</f>
        <v>isi</v>
      </c>
      <c r="I958" s="1" t="str">
        <f>METADATA_SOURCES!$A$2</f>
        <v>SRC001</v>
      </c>
    </row>
    <row r="959" spans="1:9" x14ac:dyDescent="0.3">
      <c r="A959" s="1">
        <v>75</v>
      </c>
      <c r="B959" s="1" t="s">
        <v>70</v>
      </c>
      <c r="C959" s="1">
        <v>16</v>
      </c>
      <c r="D959" s="1" t="s">
        <v>47</v>
      </c>
      <c r="E959" s="8">
        <v>15</v>
      </c>
      <c r="F959" s="1" t="s">
        <v>81</v>
      </c>
      <c r="G959" s="1">
        <v>2020</v>
      </c>
      <c r="H959" s="1" t="str">
        <f>IF(tblFLOWOD[[#This Row],[nama_asal]]=tblFLOWOD[[#This Row],[nama_tujuan]],"keluar","isi")</f>
        <v>isi</v>
      </c>
      <c r="I959" s="1" t="str">
        <f>METADATA_SOURCES!$A$2</f>
        <v>SRC001</v>
      </c>
    </row>
    <row r="960" spans="1:9" x14ac:dyDescent="0.3">
      <c r="A960" s="1">
        <v>75</v>
      </c>
      <c r="B960" s="1" t="s">
        <v>70</v>
      </c>
      <c r="C960" s="1">
        <v>17</v>
      </c>
      <c r="D960" s="1" t="s">
        <v>48</v>
      </c>
      <c r="E960" s="8">
        <v>0</v>
      </c>
      <c r="F960" s="1" t="s">
        <v>81</v>
      </c>
      <c r="G960" s="1">
        <v>2020</v>
      </c>
      <c r="H960" s="1" t="str">
        <f>IF(tblFLOWOD[[#This Row],[nama_asal]]=tblFLOWOD[[#This Row],[nama_tujuan]],"keluar","isi")</f>
        <v>isi</v>
      </c>
      <c r="I960" s="1" t="str">
        <f>METADATA_SOURCES!$A$2</f>
        <v>SRC001</v>
      </c>
    </row>
    <row r="961" spans="1:9" x14ac:dyDescent="0.3">
      <c r="A961" s="1">
        <v>75</v>
      </c>
      <c r="B961" s="1" t="s">
        <v>70</v>
      </c>
      <c r="C961" s="1">
        <v>18</v>
      </c>
      <c r="D961" s="1" t="s">
        <v>49</v>
      </c>
      <c r="E961" s="8">
        <v>31</v>
      </c>
      <c r="F961" s="1" t="s">
        <v>81</v>
      </c>
      <c r="G961" s="1">
        <v>2020</v>
      </c>
      <c r="H961" s="1" t="str">
        <f>IF(tblFLOWOD[[#This Row],[nama_asal]]=tblFLOWOD[[#This Row],[nama_tujuan]],"keluar","isi")</f>
        <v>isi</v>
      </c>
      <c r="I961" s="1" t="str">
        <f>METADATA_SOURCES!$A$2</f>
        <v>SRC001</v>
      </c>
    </row>
    <row r="962" spans="1:9" x14ac:dyDescent="0.3">
      <c r="A962" s="1">
        <v>75</v>
      </c>
      <c r="B962" s="1" t="s">
        <v>70</v>
      </c>
      <c r="C962" s="1">
        <v>19</v>
      </c>
      <c r="D962" s="1" t="s">
        <v>50</v>
      </c>
      <c r="E962" s="8">
        <v>75</v>
      </c>
      <c r="F962" s="1" t="s">
        <v>81</v>
      </c>
      <c r="G962" s="1">
        <v>2020</v>
      </c>
      <c r="H962" s="1" t="str">
        <f>IF(tblFLOWOD[[#This Row],[nama_asal]]=tblFLOWOD[[#This Row],[nama_tujuan]],"keluar","isi")</f>
        <v>isi</v>
      </c>
      <c r="I962" s="1" t="str">
        <f>METADATA_SOURCES!$A$2</f>
        <v>SRC001</v>
      </c>
    </row>
    <row r="963" spans="1:9" x14ac:dyDescent="0.3">
      <c r="A963" s="1">
        <v>75</v>
      </c>
      <c r="B963" s="1" t="s">
        <v>70</v>
      </c>
      <c r="C963" s="1">
        <v>21</v>
      </c>
      <c r="D963" s="1" t="s">
        <v>51</v>
      </c>
      <c r="E963" s="8">
        <v>0</v>
      </c>
      <c r="F963" s="1" t="s">
        <v>81</v>
      </c>
      <c r="G963" s="1">
        <v>2020</v>
      </c>
      <c r="H963" s="1" t="str">
        <f>IF(tblFLOWOD[[#This Row],[nama_asal]]=tblFLOWOD[[#This Row],[nama_tujuan]],"keluar","isi")</f>
        <v>isi</v>
      </c>
      <c r="I963" s="1" t="str">
        <f>METADATA_SOURCES!$A$2</f>
        <v>SRC001</v>
      </c>
    </row>
    <row r="964" spans="1:9" x14ac:dyDescent="0.3">
      <c r="A964" s="1">
        <v>75</v>
      </c>
      <c r="B964" s="1" t="s">
        <v>70</v>
      </c>
      <c r="C964" s="1">
        <v>31</v>
      </c>
      <c r="D964" s="1" t="s">
        <v>52</v>
      </c>
      <c r="E964" s="8">
        <v>135</v>
      </c>
      <c r="F964" s="1" t="s">
        <v>81</v>
      </c>
      <c r="G964" s="1">
        <v>2020</v>
      </c>
      <c r="H964" s="1" t="str">
        <f>IF(tblFLOWOD[[#This Row],[nama_asal]]=tblFLOWOD[[#This Row],[nama_tujuan]],"keluar","isi")</f>
        <v>isi</v>
      </c>
      <c r="I964" s="1" t="str">
        <f>METADATA_SOURCES!$A$2</f>
        <v>SRC001</v>
      </c>
    </row>
    <row r="965" spans="1:9" x14ac:dyDescent="0.3">
      <c r="A965" s="1">
        <v>75</v>
      </c>
      <c r="B965" s="1" t="s">
        <v>70</v>
      </c>
      <c r="C965" s="1">
        <v>32</v>
      </c>
      <c r="D965" s="1" t="s">
        <v>53</v>
      </c>
      <c r="E965" s="8">
        <v>448</v>
      </c>
      <c r="F965" s="1" t="s">
        <v>81</v>
      </c>
      <c r="G965" s="1">
        <v>2020</v>
      </c>
      <c r="H965" s="1" t="str">
        <f>IF(tblFLOWOD[[#This Row],[nama_asal]]=tblFLOWOD[[#This Row],[nama_tujuan]],"keluar","isi")</f>
        <v>isi</v>
      </c>
      <c r="I965" s="1" t="str">
        <f>METADATA_SOURCES!$A$2</f>
        <v>SRC001</v>
      </c>
    </row>
    <row r="966" spans="1:9" x14ac:dyDescent="0.3">
      <c r="A966" s="1">
        <v>75</v>
      </c>
      <c r="B966" s="1" t="s">
        <v>70</v>
      </c>
      <c r="C966" s="1">
        <v>33</v>
      </c>
      <c r="D966" s="1" t="s">
        <v>54</v>
      </c>
      <c r="E966" s="8">
        <v>649</v>
      </c>
      <c r="F966" s="1" t="s">
        <v>81</v>
      </c>
      <c r="G966" s="1">
        <v>2020</v>
      </c>
      <c r="H966" s="1" t="str">
        <f>IF(tblFLOWOD[[#This Row],[nama_asal]]=tblFLOWOD[[#This Row],[nama_tujuan]],"keluar","isi")</f>
        <v>isi</v>
      </c>
      <c r="I966" s="1" t="str">
        <f>METADATA_SOURCES!$A$2</f>
        <v>SRC001</v>
      </c>
    </row>
    <row r="967" spans="1:9" x14ac:dyDescent="0.3">
      <c r="A967" s="1">
        <v>75</v>
      </c>
      <c r="B967" s="1" t="s">
        <v>70</v>
      </c>
      <c r="C967" s="1">
        <v>34</v>
      </c>
      <c r="D967" s="1" t="s">
        <v>55</v>
      </c>
      <c r="E967" s="8">
        <v>68</v>
      </c>
      <c r="F967" s="1" t="s">
        <v>81</v>
      </c>
      <c r="G967" s="1">
        <v>2020</v>
      </c>
      <c r="H967" s="1" t="str">
        <f>IF(tblFLOWOD[[#This Row],[nama_asal]]=tblFLOWOD[[#This Row],[nama_tujuan]],"keluar","isi")</f>
        <v>isi</v>
      </c>
      <c r="I967" s="1" t="str">
        <f>METADATA_SOURCES!$A$2</f>
        <v>SRC001</v>
      </c>
    </row>
    <row r="968" spans="1:9" x14ac:dyDescent="0.3">
      <c r="A968" s="1">
        <v>75</v>
      </c>
      <c r="B968" s="1" t="s">
        <v>70</v>
      </c>
      <c r="C968" s="1">
        <v>35</v>
      </c>
      <c r="D968" s="1" t="s">
        <v>56</v>
      </c>
      <c r="E968" s="8">
        <v>236</v>
      </c>
      <c r="F968" s="1" t="s">
        <v>81</v>
      </c>
      <c r="G968" s="1">
        <v>2020</v>
      </c>
      <c r="H968" s="1" t="str">
        <f>IF(tblFLOWOD[[#This Row],[nama_asal]]=tblFLOWOD[[#This Row],[nama_tujuan]],"keluar","isi")</f>
        <v>isi</v>
      </c>
      <c r="I968" s="1" t="str">
        <f>METADATA_SOURCES!$A$2</f>
        <v>SRC001</v>
      </c>
    </row>
    <row r="969" spans="1:9" x14ac:dyDescent="0.3">
      <c r="A969" s="1">
        <v>75</v>
      </c>
      <c r="B969" s="1" t="s">
        <v>70</v>
      </c>
      <c r="C969" s="1">
        <v>36</v>
      </c>
      <c r="D969" s="1" t="s">
        <v>57</v>
      </c>
      <c r="E969" s="8">
        <v>48</v>
      </c>
      <c r="F969" s="1" t="s">
        <v>81</v>
      </c>
      <c r="G969" s="1">
        <v>2020</v>
      </c>
      <c r="H969" s="1" t="str">
        <f>IF(tblFLOWOD[[#This Row],[nama_asal]]=tblFLOWOD[[#This Row],[nama_tujuan]],"keluar","isi")</f>
        <v>isi</v>
      </c>
      <c r="I969" s="1" t="str">
        <f>METADATA_SOURCES!$A$2</f>
        <v>SRC001</v>
      </c>
    </row>
    <row r="970" spans="1:9" x14ac:dyDescent="0.3">
      <c r="A970" s="1">
        <v>75</v>
      </c>
      <c r="B970" s="1" t="s">
        <v>70</v>
      </c>
      <c r="C970" s="1">
        <v>51</v>
      </c>
      <c r="D970" s="1" t="s">
        <v>58</v>
      </c>
      <c r="E970" s="8">
        <v>16</v>
      </c>
      <c r="F970" s="1" t="s">
        <v>81</v>
      </c>
      <c r="G970" s="1">
        <v>2020</v>
      </c>
      <c r="H970" s="1" t="str">
        <f>IF(tblFLOWOD[[#This Row],[nama_asal]]=tblFLOWOD[[#This Row],[nama_tujuan]],"keluar","isi")</f>
        <v>isi</v>
      </c>
      <c r="I970" s="1" t="str">
        <f>METADATA_SOURCES!$A$2</f>
        <v>SRC001</v>
      </c>
    </row>
    <row r="971" spans="1:9" x14ac:dyDescent="0.3">
      <c r="A971" s="1">
        <v>75</v>
      </c>
      <c r="B971" s="1" t="s">
        <v>70</v>
      </c>
      <c r="C971" s="1">
        <v>52</v>
      </c>
      <c r="D971" s="1" t="s">
        <v>59</v>
      </c>
      <c r="E971" s="8">
        <v>2</v>
      </c>
      <c r="F971" s="1" t="s">
        <v>81</v>
      </c>
      <c r="G971" s="1">
        <v>2020</v>
      </c>
      <c r="H971" s="1" t="str">
        <f>IF(tblFLOWOD[[#This Row],[nama_asal]]=tblFLOWOD[[#This Row],[nama_tujuan]],"keluar","isi")</f>
        <v>isi</v>
      </c>
      <c r="I971" s="1" t="str">
        <f>METADATA_SOURCES!$A$2</f>
        <v>SRC001</v>
      </c>
    </row>
    <row r="972" spans="1:9" x14ac:dyDescent="0.3">
      <c r="A972" s="1">
        <v>75</v>
      </c>
      <c r="B972" s="1" t="s">
        <v>70</v>
      </c>
      <c r="C972" s="1">
        <v>53</v>
      </c>
      <c r="D972" s="1" t="s">
        <v>60</v>
      </c>
      <c r="E972" s="8">
        <v>39</v>
      </c>
      <c r="F972" s="1" t="s">
        <v>81</v>
      </c>
      <c r="G972" s="1">
        <v>2020</v>
      </c>
      <c r="H972" s="1" t="str">
        <f>IF(tblFLOWOD[[#This Row],[nama_asal]]=tblFLOWOD[[#This Row],[nama_tujuan]],"keluar","isi")</f>
        <v>isi</v>
      </c>
      <c r="I972" s="1" t="str">
        <f>METADATA_SOURCES!$A$2</f>
        <v>SRC001</v>
      </c>
    </row>
    <row r="973" spans="1:9" x14ac:dyDescent="0.3">
      <c r="A973" s="1">
        <v>75</v>
      </c>
      <c r="B973" s="1" t="s">
        <v>70</v>
      </c>
      <c r="C973" s="1">
        <v>61</v>
      </c>
      <c r="D973" s="1" t="s">
        <v>61</v>
      </c>
      <c r="E973" s="8">
        <v>25</v>
      </c>
      <c r="F973" s="1" t="s">
        <v>81</v>
      </c>
      <c r="G973" s="1">
        <v>2020</v>
      </c>
      <c r="H973" s="1" t="str">
        <f>IF(tblFLOWOD[[#This Row],[nama_asal]]=tblFLOWOD[[#This Row],[nama_tujuan]],"keluar","isi")</f>
        <v>isi</v>
      </c>
      <c r="I973" s="1" t="str">
        <f>METADATA_SOURCES!$A$2</f>
        <v>SRC001</v>
      </c>
    </row>
    <row r="974" spans="1:9" x14ac:dyDescent="0.3">
      <c r="A974" s="1">
        <v>75</v>
      </c>
      <c r="B974" s="1" t="s">
        <v>70</v>
      </c>
      <c r="C974" s="1">
        <v>62</v>
      </c>
      <c r="D974" s="1" t="s">
        <v>62</v>
      </c>
      <c r="E974" s="8">
        <v>33</v>
      </c>
      <c r="F974" s="1" t="s">
        <v>81</v>
      </c>
      <c r="G974" s="1">
        <v>2020</v>
      </c>
      <c r="H974" s="1" t="str">
        <f>IF(tblFLOWOD[[#This Row],[nama_asal]]=tblFLOWOD[[#This Row],[nama_tujuan]],"keluar","isi")</f>
        <v>isi</v>
      </c>
      <c r="I974" s="1" t="str">
        <f>METADATA_SOURCES!$A$2</f>
        <v>SRC001</v>
      </c>
    </row>
    <row r="975" spans="1:9" x14ac:dyDescent="0.3">
      <c r="A975" s="1">
        <v>75</v>
      </c>
      <c r="B975" s="1" t="s">
        <v>70</v>
      </c>
      <c r="C975" s="1">
        <v>63</v>
      </c>
      <c r="D975" s="1" t="s">
        <v>63</v>
      </c>
      <c r="E975" s="8">
        <v>0</v>
      </c>
      <c r="F975" s="1" t="s">
        <v>81</v>
      </c>
      <c r="G975" s="1">
        <v>2020</v>
      </c>
      <c r="H975" s="1" t="str">
        <f>IF(tblFLOWOD[[#This Row],[nama_asal]]=tblFLOWOD[[#This Row],[nama_tujuan]],"keluar","isi")</f>
        <v>isi</v>
      </c>
      <c r="I975" s="1" t="str">
        <f>METADATA_SOURCES!$A$2</f>
        <v>SRC001</v>
      </c>
    </row>
    <row r="976" spans="1:9" x14ac:dyDescent="0.3">
      <c r="A976" s="1">
        <v>75</v>
      </c>
      <c r="B976" s="1" t="s">
        <v>70</v>
      </c>
      <c r="C976" s="1">
        <v>64</v>
      </c>
      <c r="D976" s="1" t="s">
        <v>64</v>
      </c>
      <c r="E976" s="8">
        <v>182</v>
      </c>
      <c r="F976" s="1" t="s">
        <v>81</v>
      </c>
      <c r="G976" s="1">
        <v>2020</v>
      </c>
      <c r="H976" s="1" t="str">
        <f>IF(tblFLOWOD[[#This Row],[nama_asal]]=tblFLOWOD[[#This Row],[nama_tujuan]],"keluar","isi")</f>
        <v>isi</v>
      </c>
      <c r="I976" s="1" t="str">
        <f>METADATA_SOURCES!$A$2</f>
        <v>SRC001</v>
      </c>
    </row>
    <row r="977" spans="1:9" x14ac:dyDescent="0.3">
      <c r="A977" s="1">
        <v>75</v>
      </c>
      <c r="B977" s="1" t="s">
        <v>70</v>
      </c>
      <c r="C977" s="1">
        <v>65</v>
      </c>
      <c r="D977" s="1" t="s">
        <v>65</v>
      </c>
      <c r="E977" s="8">
        <v>36</v>
      </c>
      <c r="F977" s="1" t="s">
        <v>81</v>
      </c>
      <c r="G977" s="1">
        <v>2020</v>
      </c>
      <c r="H977" s="1" t="str">
        <f>IF(tblFLOWOD[[#This Row],[nama_asal]]=tblFLOWOD[[#This Row],[nama_tujuan]],"keluar","isi")</f>
        <v>isi</v>
      </c>
      <c r="I977" s="1" t="str">
        <f>METADATA_SOURCES!$A$2</f>
        <v>SRC001</v>
      </c>
    </row>
    <row r="978" spans="1:9" x14ac:dyDescent="0.3">
      <c r="A978" s="1">
        <v>75</v>
      </c>
      <c r="B978" s="1" t="s">
        <v>70</v>
      </c>
      <c r="C978" s="1">
        <v>71</v>
      </c>
      <c r="D978" s="1" t="s">
        <v>66</v>
      </c>
      <c r="E978" s="8">
        <v>5819</v>
      </c>
      <c r="F978" s="1" t="s">
        <v>81</v>
      </c>
      <c r="G978" s="1">
        <v>2020</v>
      </c>
      <c r="H978" s="1" t="str">
        <f>IF(tblFLOWOD[[#This Row],[nama_asal]]=tblFLOWOD[[#This Row],[nama_tujuan]],"keluar","isi")</f>
        <v>isi</v>
      </c>
      <c r="I978" s="1" t="str">
        <f>METADATA_SOURCES!$A$2</f>
        <v>SRC001</v>
      </c>
    </row>
    <row r="979" spans="1:9" x14ac:dyDescent="0.3">
      <c r="A979" s="1">
        <v>75</v>
      </c>
      <c r="B979" s="1" t="s">
        <v>70</v>
      </c>
      <c r="C979" s="1">
        <v>72</v>
      </c>
      <c r="D979" s="1" t="s">
        <v>67</v>
      </c>
      <c r="E979" s="8">
        <v>3274</v>
      </c>
      <c r="F979" s="1" t="s">
        <v>81</v>
      </c>
      <c r="G979" s="1">
        <v>2020</v>
      </c>
      <c r="H979" s="1" t="str">
        <f>IF(tblFLOWOD[[#This Row],[nama_asal]]=tblFLOWOD[[#This Row],[nama_tujuan]],"keluar","isi")</f>
        <v>isi</v>
      </c>
      <c r="I979" s="1" t="str">
        <f>METADATA_SOURCES!$A$2</f>
        <v>SRC001</v>
      </c>
    </row>
    <row r="980" spans="1:9" x14ac:dyDescent="0.3">
      <c r="A980" s="1">
        <v>75</v>
      </c>
      <c r="B980" s="1" t="s">
        <v>70</v>
      </c>
      <c r="C980" s="1">
        <v>73</v>
      </c>
      <c r="D980" s="1" t="s">
        <v>68</v>
      </c>
      <c r="E980" s="8">
        <v>602</v>
      </c>
      <c r="F980" s="1" t="s">
        <v>81</v>
      </c>
      <c r="G980" s="1">
        <v>2020</v>
      </c>
      <c r="H980" s="1" t="str">
        <f>IF(tblFLOWOD[[#This Row],[nama_asal]]=tblFLOWOD[[#This Row],[nama_tujuan]],"keluar","isi")</f>
        <v>isi</v>
      </c>
      <c r="I980" s="1" t="str">
        <f>METADATA_SOURCES!$A$2</f>
        <v>SRC001</v>
      </c>
    </row>
    <row r="981" spans="1:9" x14ac:dyDescent="0.3">
      <c r="A981" s="1">
        <v>75</v>
      </c>
      <c r="B981" s="1" t="s">
        <v>70</v>
      </c>
      <c r="C981" s="1">
        <v>74</v>
      </c>
      <c r="D981" s="1" t="s">
        <v>69</v>
      </c>
      <c r="E981" s="8">
        <v>382</v>
      </c>
      <c r="F981" s="1" t="s">
        <v>81</v>
      </c>
      <c r="G981" s="1">
        <v>2020</v>
      </c>
      <c r="H981" s="1" t="str">
        <f>IF(tblFLOWOD[[#This Row],[nama_asal]]=tblFLOWOD[[#This Row],[nama_tujuan]],"keluar","isi")</f>
        <v>isi</v>
      </c>
      <c r="I981" s="1" t="str">
        <f>METADATA_SOURCES!$A$2</f>
        <v>SRC001</v>
      </c>
    </row>
    <row r="982" spans="1:9" x14ac:dyDescent="0.3">
      <c r="A982" s="1">
        <v>75</v>
      </c>
      <c r="B982" s="1" t="s">
        <v>70</v>
      </c>
      <c r="C982" s="1">
        <v>75</v>
      </c>
      <c r="D982" s="1" t="s">
        <v>70</v>
      </c>
      <c r="E982" s="8">
        <v>1074472</v>
      </c>
      <c r="F982" s="1" t="s">
        <v>81</v>
      </c>
      <c r="G982" s="1">
        <v>2020</v>
      </c>
      <c r="H982" s="1" t="str">
        <f>IF(tblFLOWOD[[#This Row],[nama_asal]]=tblFLOWOD[[#This Row],[nama_tujuan]],"keluar","isi")</f>
        <v>keluar</v>
      </c>
      <c r="I982" s="1" t="str">
        <f>METADATA_SOURCES!$A$2</f>
        <v>SRC001</v>
      </c>
    </row>
    <row r="983" spans="1:9" x14ac:dyDescent="0.3">
      <c r="A983" s="1">
        <v>75</v>
      </c>
      <c r="B983" s="1" t="s">
        <v>70</v>
      </c>
      <c r="C983" s="1">
        <v>76</v>
      </c>
      <c r="D983" s="1" t="s">
        <v>71</v>
      </c>
      <c r="E983" s="8">
        <v>48</v>
      </c>
      <c r="F983" s="1" t="s">
        <v>81</v>
      </c>
      <c r="G983" s="1">
        <v>2020</v>
      </c>
      <c r="H983" s="1" t="str">
        <f>IF(tblFLOWOD[[#This Row],[nama_asal]]=tblFLOWOD[[#This Row],[nama_tujuan]],"keluar","isi")</f>
        <v>isi</v>
      </c>
      <c r="I983" s="1" t="str">
        <f>METADATA_SOURCES!$A$2</f>
        <v>SRC001</v>
      </c>
    </row>
    <row r="984" spans="1:9" x14ac:dyDescent="0.3">
      <c r="A984" s="1">
        <v>75</v>
      </c>
      <c r="B984" s="1" t="s">
        <v>70</v>
      </c>
      <c r="C984" s="1">
        <v>81</v>
      </c>
      <c r="D984" s="1" t="s">
        <v>72</v>
      </c>
      <c r="E984" s="8">
        <v>77</v>
      </c>
      <c r="F984" s="1" t="s">
        <v>81</v>
      </c>
      <c r="G984" s="1">
        <v>2020</v>
      </c>
      <c r="H984" s="1" t="str">
        <f>IF(tblFLOWOD[[#This Row],[nama_asal]]=tblFLOWOD[[#This Row],[nama_tujuan]],"keluar","isi")</f>
        <v>isi</v>
      </c>
      <c r="I984" s="1" t="str">
        <f>METADATA_SOURCES!$A$2</f>
        <v>SRC001</v>
      </c>
    </row>
    <row r="985" spans="1:9" x14ac:dyDescent="0.3">
      <c r="A985" s="1">
        <v>75</v>
      </c>
      <c r="B985" s="1" t="s">
        <v>70</v>
      </c>
      <c r="C985" s="1">
        <v>82</v>
      </c>
      <c r="D985" s="1" t="s">
        <v>73</v>
      </c>
      <c r="E985" s="8">
        <v>332</v>
      </c>
      <c r="F985" s="1" t="s">
        <v>81</v>
      </c>
      <c r="G985" s="1">
        <v>2020</v>
      </c>
      <c r="H985" s="1" t="str">
        <f>IF(tblFLOWOD[[#This Row],[nama_asal]]=tblFLOWOD[[#This Row],[nama_tujuan]],"keluar","isi")</f>
        <v>isi</v>
      </c>
      <c r="I985" s="1" t="str">
        <f>METADATA_SOURCES!$A$2</f>
        <v>SRC001</v>
      </c>
    </row>
    <row r="986" spans="1:9" x14ac:dyDescent="0.3">
      <c r="A986" s="1">
        <v>75</v>
      </c>
      <c r="B986" s="1" t="s">
        <v>70</v>
      </c>
      <c r="C986" s="1">
        <v>91</v>
      </c>
      <c r="D986" s="1" t="s">
        <v>74</v>
      </c>
      <c r="E986" s="8">
        <v>63</v>
      </c>
      <c r="F986" s="1" t="s">
        <v>81</v>
      </c>
      <c r="G986" s="1">
        <v>2020</v>
      </c>
      <c r="H986" s="1" t="str">
        <f>IF(tblFLOWOD[[#This Row],[nama_asal]]=tblFLOWOD[[#This Row],[nama_tujuan]],"keluar","isi")</f>
        <v>isi</v>
      </c>
      <c r="I986" s="1" t="str">
        <f>METADATA_SOURCES!$A$2</f>
        <v>SRC001</v>
      </c>
    </row>
    <row r="987" spans="1:9" x14ac:dyDescent="0.3">
      <c r="A987" s="1">
        <v>75</v>
      </c>
      <c r="B987" s="1" t="s">
        <v>70</v>
      </c>
      <c r="C987" s="1">
        <v>94</v>
      </c>
      <c r="D987" s="1" t="s">
        <v>75</v>
      </c>
      <c r="E987" s="8">
        <v>81</v>
      </c>
      <c r="F987" s="1" t="s">
        <v>81</v>
      </c>
      <c r="G987" s="1">
        <v>2020</v>
      </c>
      <c r="H987" s="1" t="str">
        <f>IF(tblFLOWOD[[#This Row],[nama_asal]]=tblFLOWOD[[#This Row],[nama_tujuan]],"keluar","isi")</f>
        <v>isi</v>
      </c>
      <c r="I987" s="1" t="str">
        <f>METADATA_SOURCES!$A$2</f>
        <v>SRC001</v>
      </c>
    </row>
    <row r="988" spans="1:9" x14ac:dyDescent="0.3">
      <c r="A988" s="1">
        <v>76</v>
      </c>
      <c r="B988" s="1" t="s">
        <v>71</v>
      </c>
      <c r="C988" s="1">
        <v>11</v>
      </c>
      <c r="D988" s="1" t="s">
        <v>42</v>
      </c>
      <c r="E988" s="8">
        <v>23</v>
      </c>
      <c r="F988" s="1" t="s">
        <v>81</v>
      </c>
      <c r="G988" s="1">
        <v>2020</v>
      </c>
      <c r="H988" s="1" t="str">
        <f>IF(tblFLOWOD[[#This Row],[nama_asal]]=tblFLOWOD[[#This Row],[nama_tujuan]],"keluar","isi")</f>
        <v>isi</v>
      </c>
      <c r="I988" s="1" t="str">
        <f>METADATA_SOURCES!$A$2</f>
        <v>SRC001</v>
      </c>
    </row>
    <row r="989" spans="1:9" x14ac:dyDescent="0.3">
      <c r="A989" s="1">
        <v>76</v>
      </c>
      <c r="B989" s="1" t="s">
        <v>71</v>
      </c>
      <c r="C989" s="1">
        <v>12</v>
      </c>
      <c r="D989" s="1" t="s">
        <v>43</v>
      </c>
      <c r="E989" s="8">
        <v>45</v>
      </c>
      <c r="F989" s="1" t="s">
        <v>81</v>
      </c>
      <c r="G989" s="1">
        <v>2020</v>
      </c>
      <c r="H989" s="1" t="str">
        <f>IF(tblFLOWOD[[#This Row],[nama_asal]]=tblFLOWOD[[#This Row],[nama_tujuan]],"keluar","isi")</f>
        <v>isi</v>
      </c>
      <c r="I989" s="1" t="str">
        <f>METADATA_SOURCES!$A$2</f>
        <v>SRC001</v>
      </c>
    </row>
    <row r="990" spans="1:9" x14ac:dyDescent="0.3">
      <c r="A990" s="1">
        <v>76</v>
      </c>
      <c r="B990" s="1" t="s">
        <v>71</v>
      </c>
      <c r="C990" s="1">
        <v>13</v>
      </c>
      <c r="D990" s="1" t="s">
        <v>44</v>
      </c>
      <c r="E990" s="8">
        <v>8</v>
      </c>
      <c r="F990" s="1" t="s">
        <v>81</v>
      </c>
      <c r="G990" s="1">
        <v>2020</v>
      </c>
      <c r="H990" s="1" t="str">
        <f>IF(tblFLOWOD[[#This Row],[nama_asal]]=tblFLOWOD[[#This Row],[nama_tujuan]],"keluar","isi")</f>
        <v>isi</v>
      </c>
      <c r="I990" s="1" t="str">
        <f>METADATA_SOURCES!$A$2</f>
        <v>SRC001</v>
      </c>
    </row>
    <row r="991" spans="1:9" x14ac:dyDescent="0.3">
      <c r="A991" s="1">
        <v>76</v>
      </c>
      <c r="B991" s="1" t="s">
        <v>71</v>
      </c>
      <c r="C991" s="1">
        <v>14</v>
      </c>
      <c r="D991" s="1" t="s">
        <v>45</v>
      </c>
      <c r="E991" s="8">
        <v>0</v>
      </c>
      <c r="F991" s="1" t="s">
        <v>81</v>
      </c>
      <c r="G991" s="1">
        <v>2020</v>
      </c>
      <c r="H991" s="1" t="str">
        <f>IF(tblFLOWOD[[#This Row],[nama_asal]]=tblFLOWOD[[#This Row],[nama_tujuan]],"keluar","isi")</f>
        <v>isi</v>
      </c>
      <c r="I991" s="1" t="str">
        <f>METADATA_SOURCES!$A$2</f>
        <v>SRC001</v>
      </c>
    </row>
    <row r="992" spans="1:9" x14ac:dyDescent="0.3">
      <c r="A992" s="1">
        <v>76</v>
      </c>
      <c r="B992" s="1" t="s">
        <v>71</v>
      </c>
      <c r="C992" s="1">
        <v>15</v>
      </c>
      <c r="D992" s="1" t="s">
        <v>46</v>
      </c>
      <c r="E992" s="8">
        <v>73</v>
      </c>
      <c r="F992" s="1" t="s">
        <v>81</v>
      </c>
      <c r="G992" s="1">
        <v>2020</v>
      </c>
      <c r="H992" s="1" t="str">
        <f>IF(tblFLOWOD[[#This Row],[nama_asal]]=tblFLOWOD[[#This Row],[nama_tujuan]],"keluar","isi")</f>
        <v>isi</v>
      </c>
      <c r="I992" s="1" t="str">
        <f>METADATA_SOURCES!$A$2</f>
        <v>SRC001</v>
      </c>
    </row>
    <row r="993" spans="1:9" x14ac:dyDescent="0.3">
      <c r="A993" s="1">
        <v>76</v>
      </c>
      <c r="B993" s="1" t="s">
        <v>71</v>
      </c>
      <c r="C993" s="1">
        <v>16</v>
      </c>
      <c r="D993" s="1" t="s">
        <v>47</v>
      </c>
      <c r="E993" s="8">
        <v>107</v>
      </c>
      <c r="F993" s="1" t="s">
        <v>81</v>
      </c>
      <c r="G993" s="1">
        <v>2020</v>
      </c>
      <c r="H993" s="1" t="str">
        <f>IF(tblFLOWOD[[#This Row],[nama_asal]]=tblFLOWOD[[#This Row],[nama_tujuan]],"keluar","isi")</f>
        <v>isi</v>
      </c>
      <c r="I993" s="1" t="str">
        <f>METADATA_SOURCES!$A$2</f>
        <v>SRC001</v>
      </c>
    </row>
    <row r="994" spans="1:9" x14ac:dyDescent="0.3">
      <c r="A994" s="1">
        <v>76</v>
      </c>
      <c r="B994" s="1" t="s">
        <v>71</v>
      </c>
      <c r="C994" s="1">
        <v>17</v>
      </c>
      <c r="D994" s="1" t="s">
        <v>48</v>
      </c>
      <c r="E994" s="8">
        <v>105</v>
      </c>
      <c r="F994" s="1" t="s">
        <v>81</v>
      </c>
      <c r="G994" s="1">
        <v>2020</v>
      </c>
      <c r="H994" s="1" t="str">
        <f>IF(tblFLOWOD[[#This Row],[nama_asal]]=tblFLOWOD[[#This Row],[nama_tujuan]],"keluar","isi")</f>
        <v>isi</v>
      </c>
      <c r="I994" s="1" t="str">
        <f>METADATA_SOURCES!$A$2</f>
        <v>SRC001</v>
      </c>
    </row>
    <row r="995" spans="1:9" x14ac:dyDescent="0.3">
      <c r="A995" s="1">
        <v>76</v>
      </c>
      <c r="B995" s="1" t="s">
        <v>71</v>
      </c>
      <c r="C995" s="1">
        <v>18</v>
      </c>
      <c r="D995" s="1" t="s">
        <v>49</v>
      </c>
      <c r="E995" s="8">
        <v>3</v>
      </c>
      <c r="F995" s="1" t="s">
        <v>81</v>
      </c>
      <c r="G995" s="1">
        <v>2020</v>
      </c>
      <c r="H995" s="1" t="str">
        <f>IF(tblFLOWOD[[#This Row],[nama_asal]]=tblFLOWOD[[#This Row],[nama_tujuan]],"keluar","isi")</f>
        <v>isi</v>
      </c>
      <c r="I995" s="1" t="str">
        <f>METADATA_SOURCES!$A$2</f>
        <v>SRC001</v>
      </c>
    </row>
    <row r="996" spans="1:9" x14ac:dyDescent="0.3">
      <c r="A996" s="1">
        <v>76</v>
      </c>
      <c r="B996" s="1" t="s">
        <v>71</v>
      </c>
      <c r="C996" s="1">
        <v>19</v>
      </c>
      <c r="D996" s="1" t="s">
        <v>50</v>
      </c>
      <c r="E996" s="8">
        <v>86</v>
      </c>
      <c r="F996" s="1" t="s">
        <v>81</v>
      </c>
      <c r="G996" s="1">
        <v>2020</v>
      </c>
      <c r="H996" s="1" t="str">
        <f>IF(tblFLOWOD[[#This Row],[nama_asal]]=tblFLOWOD[[#This Row],[nama_tujuan]],"keluar","isi")</f>
        <v>isi</v>
      </c>
      <c r="I996" s="1" t="str">
        <f>METADATA_SOURCES!$A$2</f>
        <v>SRC001</v>
      </c>
    </row>
    <row r="997" spans="1:9" x14ac:dyDescent="0.3">
      <c r="A997" s="1">
        <v>76</v>
      </c>
      <c r="B997" s="1" t="s">
        <v>71</v>
      </c>
      <c r="C997" s="1">
        <v>21</v>
      </c>
      <c r="D997" s="1" t="s">
        <v>51</v>
      </c>
      <c r="E997" s="8">
        <v>0</v>
      </c>
      <c r="F997" s="1" t="s">
        <v>81</v>
      </c>
      <c r="G997" s="1">
        <v>2020</v>
      </c>
      <c r="H997" s="1" t="str">
        <f>IF(tblFLOWOD[[#This Row],[nama_asal]]=tblFLOWOD[[#This Row],[nama_tujuan]],"keluar","isi")</f>
        <v>isi</v>
      </c>
      <c r="I997" s="1" t="str">
        <f>METADATA_SOURCES!$A$2</f>
        <v>SRC001</v>
      </c>
    </row>
    <row r="998" spans="1:9" x14ac:dyDescent="0.3">
      <c r="A998" s="1">
        <v>76</v>
      </c>
      <c r="B998" s="1" t="s">
        <v>71</v>
      </c>
      <c r="C998" s="1">
        <v>31</v>
      </c>
      <c r="D998" s="1" t="s">
        <v>52</v>
      </c>
      <c r="E998" s="8">
        <v>39</v>
      </c>
      <c r="F998" s="1" t="s">
        <v>81</v>
      </c>
      <c r="G998" s="1">
        <v>2020</v>
      </c>
      <c r="H998" s="1" t="str">
        <f>IF(tblFLOWOD[[#This Row],[nama_asal]]=tblFLOWOD[[#This Row],[nama_tujuan]],"keluar","isi")</f>
        <v>isi</v>
      </c>
      <c r="I998" s="1" t="str">
        <f>METADATA_SOURCES!$A$2</f>
        <v>SRC001</v>
      </c>
    </row>
    <row r="999" spans="1:9" x14ac:dyDescent="0.3">
      <c r="A999" s="1">
        <v>76</v>
      </c>
      <c r="B999" s="1" t="s">
        <v>71</v>
      </c>
      <c r="C999" s="1">
        <v>32</v>
      </c>
      <c r="D999" s="1" t="s">
        <v>53</v>
      </c>
      <c r="E999" s="8">
        <v>68</v>
      </c>
      <c r="F999" s="1" t="s">
        <v>81</v>
      </c>
      <c r="G999" s="1">
        <v>2020</v>
      </c>
      <c r="H999" s="1" t="str">
        <f>IF(tblFLOWOD[[#This Row],[nama_asal]]=tblFLOWOD[[#This Row],[nama_tujuan]],"keluar","isi")</f>
        <v>isi</v>
      </c>
      <c r="I999" s="1" t="str">
        <f>METADATA_SOURCES!$A$2</f>
        <v>SRC001</v>
      </c>
    </row>
    <row r="1000" spans="1:9" x14ac:dyDescent="0.3">
      <c r="A1000" s="1">
        <v>76</v>
      </c>
      <c r="B1000" s="1" t="s">
        <v>71</v>
      </c>
      <c r="C1000" s="1">
        <v>33</v>
      </c>
      <c r="D1000" s="1" t="s">
        <v>54</v>
      </c>
      <c r="E1000" s="8">
        <v>391</v>
      </c>
      <c r="F1000" s="1" t="s">
        <v>81</v>
      </c>
      <c r="G1000" s="1">
        <v>2020</v>
      </c>
      <c r="H1000" s="1" t="str">
        <f>IF(tblFLOWOD[[#This Row],[nama_asal]]=tblFLOWOD[[#This Row],[nama_tujuan]],"keluar","isi")</f>
        <v>isi</v>
      </c>
      <c r="I1000" s="1" t="str">
        <f>METADATA_SOURCES!$A$2</f>
        <v>SRC001</v>
      </c>
    </row>
    <row r="1001" spans="1:9" x14ac:dyDescent="0.3">
      <c r="A1001" s="1">
        <v>76</v>
      </c>
      <c r="B1001" s="1" t="s">
        <v>71</v>
      </c>
      <c r="C1001" s="1">
        <v>34</v>
      </c>
      <c r="D1001" s="1" t="s">
        <v>55</v>
      </c>
      <c r="E1001" s="8">
        <v>77</v>
      </c>
      <c r="F1001" s="1" t="s">
        <v>81</v>
      </c>
      <c r="G1001" s="1">
        <v>2020</v>
      </c>
      <c r="H1001" s="1" t="str">
        <f>IF(tblFLOWOD[[#This Row],[nama_asal]]=tblFLOWOD[[#This Row],[nama_tujuan]],"keluar","isi")</f>
        <v>isi</v>
      </c>
      <c r="I1001" s="1" t="str">
        <f>METADATA_SOURCES!$A$2</f>
        <v>SRC001</v>
      </c>
    </row>
    <row r="1002" spans="1:9" x14ac:dyDescent="0.3">
      <c r="A1002" s="1">
        <v>76</v>
      </c>
      <c r="B1002" s="1" t="s">
        <v>71</v>
      </c>
      <c r="C1002" s="1">
        <v>35</v>
      </c>
      <c r="D1002" s="1" t="s">
        <v>56</v>
      </c>
      <c r="E1002" s="8">
        <v>363</v>
      </c>
      <c r="F1002" s="1" t="s">
        <v>81</v>
      </c>
      <c r="G1002" s="1">
        <v>2020</v>
      </c>
      <c r="H1002" s="1" t="str">
        <f>IF(tblFLOWOD[[#This Row],[nama_asal]]=tblFLOWOD[[#This Row],[nama_tujuan]],"keluar","isi")</f>
        <v>isi</v>
      </c>
      <c r="I1002" s="1" t="str">
        <f>METADATA_SOURCES!$A$2</f>
        <v>SRC001</v>
      </c>
    </row>
    <row r="1003" spans="1:9" x14ac:dyDescent="0.3">
      <c r="A1003" s="1">
        <v>76</v>
      </c>
      <c r="B1003" s="1" t="s">
        <v>71</v>
      </c>
      <c r="C1003" s="1">
        <v>36</v>
      </c>
      <c r="D1003" s="1" t="s">
        <v>57</v>
      </c>
      <c r="E1003" s="8">
        <v>0</v>
      </c>
      <c r="F1003" s="1" t="s">
        <v>81</v>
      </c>
      <c r="G1003" s="1">
        <v>2020</v>
      </c>
      <c r="H1003" s="1" t="str">
        <f>IF(tblFLOWOD[[#This Row],[nama_asal]]=tblFLOWOD[[#This Row],[nama_tujuan]],"keluar","isi")</f>
        <v>isi</v>
      </c>
      <c r="I1003" s="1" t="str">
        <f>METADATA_SOURCES!$A$2</f>
        <v>SRC001</v>
      </c>
    </row>
    <row r="1004" spans="1:9" x14ac:dyDescent="0.3">
      <c r="A1004" s="1">
        <v>76</v>
      </c>
      <c r="B1004" s="1" t="s">
        <v>71</v>
      </c>
      <c r="C1004" s="1">
        <v>51</v>
      </c>
      <c r="D1004" s="1" t="s">
        <v>58</v>
      </c>
      <c r="E1004" s="8">
        <v>160</v>
      </c>
      <c r="F1004" s="1" t="s">
        <v>81</v>
      </c>
      <c r="G1004" s="1">
        <v>2020</v>
      </c>
      <c r="H1004" s="1" t="str">
        <f>IF(tblFLOWOD[[#This Row],[nama_asal]]=tblFLOWOD[[#This Row],[nama_tujuan]],"keluar","isi")</f>
        <v>isi</v>
      </c>
      <c r="I1004" s="1" t="str">
        <f>METADATA_SOURCES!$A$2</f>
        <v>SRC001</v>
      </c>
    </row>
    <row r="1005" spans="1:9" x14ac:dyDescent="0.3">
      <c r="A1005" s="1">
        <v>76</v>
      </c>
      <c r="B1005" s="1" t="s">
        <v>71</v>
      </c>
      <c r="C1005" s="1">
        <v>52</v>
      </c>
      <c r="D1005" s="1" t="s">
        <v>59</v>
      </c>
      <c r="E1005" s="8">
        <v>332</v>
      </c>
      <c r="F1005" s="1" t="s">
        <v>81</v>
      </c>
      <c r="G1005" s="1">
        <v>2020</v>
      </c>
      <c r="H1005" s="1" t="str">
        <f>IF(tblFLOWOD[[#This Row],[nama_asal]]=tblFLOWOD[[#This Row],[nama_tujuan]],"keluar","isi")</f>
        <v>isi</v>
      </c>
      <c r="I1005" s="1" t="str">
        <f>METADATA_SOURCES!$A$2</f>
        <v>SRC001</v>
      </c>
    </row>
    <row r="1006" spans="1:9" x14ac:dyDescent="0.3">
      <c r="A1006" s="1">
        <v>76</v>
      </c>
      <c r="B1006" s="1" t="s">
        <v>71</v>
      </c>
      <c r="C1006" s="1">
        <v>53</v>
      </c>
      <c r="D1006" s="1" t="s">
        <v>60</v>
      </c>
      <c r="E1006" s="8">
        <v>152</v>
      </c>
      <c r="F1006" s="1" t="s">
        <v>81</v>
      </c>
      <c r="G1006" s="1">
        <v>2020</v>
      </c>
      <c r="H1006" s="1" t="str">
        <f>IF(tblFLOWOD[[#This Row],[nama_asal]]=tblFLOWOD[[#This Row],[nama_tujuan]],"keluar","isi")</f>
        <v>isi</v>
      </c>
      <c r="I1006" s="1" t="str">
        <f>METADATA_SOURCES!$A$2</f>
        <v>SRC001</v>
      </c>
    </row>
    <row r="1007" spans="1:9" x14ac:dyDescent="0.3">
      <c r="A1007" s="1">
        <v>76</v>
      </c>
      <c r="B1007" s="1" t="s">
        <v>71</v>
      </c>
      <c r="C1007" s="1">
        <v>61</v>
      </c>
      <c r="D1007" s="1" t="s">
        <v>61</v>
      </c>
      <c r="E1007" s="8">
        <v>24</v>
      </c>
      <c r="F1007" s="1" t="s">
        <v>81</v>
      </c>
      <c r="G1007" s="1">
        <v>2020</v>
      </c>
      <c r="H1007" s="1" t="str">
        <f>IF(tblFLOWOD[[#This Row],[nama_asal]]=tblFLOWOD[[#This Row],[nama_tujuan]],"keluar","isi")</f>
        <v>isi</v>
      </c>
      <c r="I1007" s="1" t="str">
        <f>METADATA_SOURCES!$A$2</f>
        <v>SRC001</v>
      </c>
    </row>
    <row r="1008" spans="1:9" x14ac:dyDescent="0.3">
      <c r="A1008" s="1">
        <v>76</v>
      </c>
      <c r="B1008" s="1" t="s">
        <v>71</v>
      </c>
      <c r="C1008" s="1">
        <v>62</v>
      </c>
      <c r="D1008" s="1" t="s">
        <v>62</v>
      </c>
      <c r="E1008" s="8">
        <v>75</v>
      </c>
      <c r="F1008" s="1" t="s">
        <v>81</v>
      </c>
      <c r="G1008" s="1">
        <v>2020</v>
      </c>
      <c r="H1008" s="1" t="str">
        <f>IF(tblFLOWOD[[#This Row],[nama_asal]]=tblFLOWOD[[#This Row],[nama_tujuan]],"keluar","isi")</f>
        <v>isi</v>
      </c>
      <c r="I1008" s="1" t="str">
        <f>METADATA_SOURCES!$A$2</f>
        <v>SRC001</v>
      </c>
    </row>
    <row r="1009" spans="1:9" x14ac:dyDescent="0.3">
      <c r="A1009" s="1">
        <v>76</v>
      </c>
      <c r="B1009" s="1" t="s">
        <v>71</v>
      </c>
      <c r="C1009" s="1">
        <v>63</v>
      </c>
      <c r="D1009" s="1" t="s">
        <v>63</v>
      </c>
      <c r="E1009" s="8">
        <v>611</v>
      </c>
      <c r="F1009" s="1" t="s">
        <v>81</v>
      </c>
      <c r="G1009" s="1">
        <v>2020</v>
      </c>
      <c r="H1009" s="1" t="str">
        <f>IF(tblFLOWOD[[#This Row],[nama_asal]]=tblFLOWOD[[#This Row],[nama_tujuan]],"keluar","isi")</f>
        <v>isi</v>
      </c>
      <c r="I1009" s="1" t="str">
        <f>METADATA_SOURCES!$A$2</f>
        <v>SRC001</v>
      </c>
    </row>
    <row r="1010" spans="1:9" x14ac:dyDescent="0.3">
      <c r="A1010" s="1">
        <v>76</v>
      </c>
      <c r="B1010" s="1" t="s">
        <v>71</v>
      </c>
      <c r="C1010" s="1">
        <v>64</v>
      </c>
      <c r="D1010" s="1" t="s">
        <v>64</v>
      </c>
      <c r="E1010" s="8">
        <v>4624</v>
      </c>
      <c r="F1010" s="1" t="s">
        <v>81</v>
      </c>
      <c r="G1010" s="1">
        <v>2020</v>
      </c>
      <c r="H1010" s="1" t="str">
        <f>IF(tblFLOWOD[[#This Row],[nama_asal]]=tblFLOWOD[[#This Row],[nama_tujuan]],"keluar","isi")</f>
        <v>isi</v>
      </c>
      <c r="I1010" s="1" t="str">
        <f>METADATA_SOURCES!$A$2</f>
        <v>SRC001</v>
      </c>
    </row>
    <row r="1011" spans="1:9" x14ac:dyDescent="0.3">
      <c r="A1011" s="1">
        <v>76</v>
      </c>
      <c r="B1011" s="1" t="s">
        <v>71</v>
      </c>
      <c r="C1011" s="1">
        <v>65</v>
      </c>
      <c r="D1011" s="1" t="s">
        <v>65</v>
      </c>
      <c r="E1011" s="8">
        <v>435</v>
      </c>
      <c r="F1011" s="1" t="s">
        <v>81</v>
      </c>
      <c r="G1011" s="1">
        <v>2020</v>
      </c>
      <c r="H1011" s="1" t="str">
        <f>IF(tblFLOWOD[[#This Row],[nama_asal]]=tblFLOWOD[[#This Row],[nama_tujuan]],"keluar","isi")</f>
        <v>isi</v>
      </c>
      <c r="I1011" s="1" t="str">
        <f>METADATA_SOURCES!$A$2</f>
        <v>SRC001</v>
      </c>
    </row>
    <row r="1012" spans="1:9" x14ac:dyDescent="0.3">
      <c r="A1012" s="1">
        <v>76</v>
      </c>
      <c r="B1012" s="1" t="s">
        <v>71</v>
      </c>
      <c r="C1012" s="1">
        <v>71</v>
      </c>
      <c r="D1012" s="1" t="s">
        <v>66</v>
      </c>
      <c r="E1012" s="8">
        <v>225</v>
      </c>
      <c r="F1012" s="1" t="s">
        <v>81</v>
      </c>
      <c r="G1012" s="1">
        <v>2020</v>
      </c>
      <c r="H1012" s="1" t="str">
        <f>IF(tblFLOWOD[[#This Row],[nama_asal]]=tblFLOWOD[[#This Row],[nama_tujuan]],"keluar","isi")</f>
        <v>isi</v>
      </c>
      <c r="I1012" s="1" t="str">
        <f>METADATA_SOURCES!$A$2</f>
        <v>SRC001</v>
      </c>
    </row>
    <row r="1013" spans="1:9" x14ac:dyDescent="0.3">
      <c r="A1013" s="1">
        <v>76</v>
      </c>
      <c r="B1013" s="1" t="s">
        <v>71</v>
      </c>
      <c r="C1013" s="1">
        <v>72</v>
      </c>
      <c r="D1013" s="1" t="s">
        <v>67</v>
      </c>
      <c r="E1013" s="8">
        <v>3150</v>
      </c>
      <c r="F1013" s="1" t="s">
        <v>81</v>
      </c>
      <c r="G1013" s="1">
        <v>2020</v>
      </c>
      <c r="H1013" s="1" t="str">
        <f>IF(tblFLOWOD[[#This Row],[nama_asal]]=tblFLOWOD[[#This Row],[nama_tujuan]],"keluar","isi")</f>
        <v>isi</v>
      </c>
      <c r="I1013" s="1" t="str">
        <f>METADATA_SOURCES!$A$2</f>
        <v>SRC001</v>
      </c>
    </row>
    <row r="1014" spans="1:9" x14ac:dyDescent="0.3">
      <c r="A1014" s="1">
        <v>76</v>
      </c>
      <c r="B1014" s="1" t="s">
        <v>71</v>
      </c>
      <c r="C1014" s="1">
        <v>73</v>
      </c>
      <c r="D1014" s="1" t="s">
        <v>68</v>
      </c>
      <c r="E1014" s="8">
        <v>11033</v>
      </c>
      <c r="F1014" s="1" t="s">
        <v>81</v>
      </c>
      <c r="G1014" s="1">
        <v>2020</v>
      </c>
      <c r="H1014" s="1" t="str">
        <f>IF(tblFLOWOD[[#This Row],[nama_asal]]=tblFLOWOD[[#This Row],[nama_tujuan]],"keluar","isi")</f>
        <v>isi</v>
      </c>
      <c r="I1014" s="1" t="str">
        <f>METADATA_SOURCES!$A$2</f>
        <v>SRC001</v>
      </c>
    </row>
    <row r="1015" spans="1:9" x14ac:dyDescent="0.3">
      <c r="A1015" s="1">
        <v>76</v>
      </c>
      <c r="B1015" s="1" t="s">
        <v>71</v>
      </c>
      <c r="C1015" s="1">
        <v>74</v>
      </c>
      <c r="D1015" s="1" t="s">
        <v>69</v>
      </c>
      <c r="E1015" s="8">
        <v>1302</v>
      </c>
      <c r="F1015" s="1" t="s">
        <v>81</v>
      </c>
      <c r="G1015" s="1">
        <v>2020</v>
      </c>
      <c r="H1015" s="1" t="str">
        <f>IF(tblFLOWOD[[#This Row],[nama_asal]]=tblFLOWOD[[#This Row],[nama_tujuan]],"keluar","isi")</f>
        <v>isi</v>
      </c>
      <c r="I1015" s="1" t="str">
        <f>METADATA_SOURCES!$A$2</f>
        <v>SRC001</v>
      </c>
    </row>
    <row r="1016" spans="1:9" x14ac:dyDescent="0.3">
      <c r="A1016" s="1">
        <v>76</v>
      </c>
      <c r="B1016" s="1" t="s">
        <v>71</v>
      </c>
      <c r="C1016" s="1">
        <v>75</v>
      </c>
      <c r="D1016" s="1" t="s">
        <v>70</v>
      </c>
      <c r="E1016" s="8">
        <v>59</v>
      </c>
      <c r="F1016" s="1" t="s">
        <v>81</v>
      </c>
      <c r="G1016" s="1">
        <v>2020</v>
      </c>
      <c r="H1016" s="1" t="str">
        <f>IF(tblFLOWOD[[#This Row],[nama_asal]]=tblFLOWOD[[#This Row],[nama_tujuan]],"keluar","isi")</f>
        <v>isi</v>
      </c>
      <c r="I1016" s="1" t="str">
        <f>METADATA_SOURCES!$A$2</f>
        <v>SRC001</v>
      </c>
    </row>
    <row r="1017" spans="1:9" x14ac:dyDescent="0.3">
      <c r="A1017" s="1">
        <v>76</v>
      </c>
      <c r="B1017" s="1" t="s">
        <v>71</v>
      </c>
      <c r="C1017" s="1">
        <v>76</v>
      </c>
      <c r="D1017" s="1" t="s">
        <v>71</v>
      </c>
      <c r="E1017" s="8">
        <v>1283945</v>
      </c>
      <c r="F1017" s="1" t="s">
        <v>81</v>
      </c>
      <c r="G1017" s="1">
        <v>2020</v>
      </c>
      <c r="H1017" s="1" t="str">
        <f>IF(tblFLOWOD[[#This Row],[nama_asal]]=tblFLOWOD[[#This Row],[nama_tujuan]],"keluar","isi")</f>
        <v>keluar</v>
      </c>
      <c r="I1017" s="1" t="str">
        <f>METADATA_SOURCES!$A$2</f>
        <v>SRC001</v>
      </c>
    </row>
    <row r="1018" spans="1:9" x14ac:dyDescent="0.3">
      <c r="A1018" s="1">
        <v>76</v>
      </c>
      <c r="B1018" s="1" t="s">
        <v>71</v>
      </c>
      <c r="C1018" s="1">
        <v>81</v>
      </c>
      <c r="D1018" s="1" t="s">
        <v>72</v>
      </c>
      <c r="E1018" s="8">
        <v>109</v>
      </c>
      <c r="F1018" s="1" t="s">
        <v>81</v>
      </c>
      <c r="G1018" s="1">
        <v>2020</v>
      </c>
      <c r="H1018" s="1" t="str">
        <f>IF(tblFLOWOD[[#This Row],[nama_asal]]=tblFLOWOD[[#This Row],[nama_tujuan]],"keluar","isi")</f>
        <v>isi</v>
      </c>
      <c r="I1018" s="1" t="str">
        <f>METADATA_SOURCES!$A$2</f>
        <v>SRC001</v>
      </c>
    </row>
    <row r="1019" spans="1:9" x14ac:dyDescent="0.3">
      <c r="A1019" s="1">
        <v>76</v>
      </c>
      <c r="B1019" s="1" t="s">
        <v>71</v>
      </c>
      <c r="C1019" s="1">
        <v>82</v>
      </c>
      <c r="D1019" s="1" t="s">
        <v>73</v>
      </c>
      <c r="E1019" s="8">
        <v>46</v>
      </c>
      <c r="F1019" s="1" t="s">
        <v>81</v>
      </c>
      <c r="G1019" s="1">
        <v>2020</v>
      </c>
      <c r="H1019" s="1" t="str">
        <f>IF(tblFLOWOD[[#This Row],[nama_asal]]=tblFLOWOD[[#This Row],[nama_tujuan]],"keluar","isi")</f>
        <v>isi</v>
      </c>
      <c r="I1019" s="1" t="str">
        <f>METADATA_SOURCES!$A$2</f>
        <v>SRC001</v>
      </c>
    </row>
    <row r="1020" spans="1:9" x14ac:dyDescent="0.3">
      <c r="A1020" s="1">
        <v>76</v>
      </c>
      <c r="B1020" s="1" t="s">
        <v>71</v>
      </c>
      <c r="C1020" s="1">
        <v>91</v>
      </c>
      <c r="D1020" s="1" t="s">
        <v>74</v>
      </c>
      <c r="E1020" s="8">
        <v>183</v>
      </c>
      <c r="F1020" s="1" t="s">
        <v>81</v>
      </c>
      <c r="G1020" s="1">
        <v>2020</v>
      </c>
      <c r="H1020" s="1" t="str">
        <f>IF(tblFLOWOD[[#This Row],[nama_asal]]=tblFLOWOD[[#This Row],[nama_tujuan]],"keluar","isi")</f>
        <v>isi</v>
      </c>
      <c r="I1020" s="1" t="str">
        <f>METADATA_SOURCES!$A$2</f>
        <v>SRC001</v>
      </c>
    </row>
    <row r="1021" spans="1:9" x14ac:dyDescent="0.3">
      <c r="A1021" s="1">
        <v>76</v>
      </c>
      <c r="B1021" s="1" t="s">
        <v>71</v>
      </c>
      <c r="C1021" s="1">
        <v>94</v>
      </c>
      <c r="D1021" s="1" t="s">
        <v>75</v>
      </c>
      <c r="E1021" s="8">
        <v>176</v>
      </c>
      <c r="F1021" s="1" t="s">
        <v>81</v>
      </c>
      <c r="G1021" s="1">
        <v>2020</v>
      </c>
      <c r="H1021" s="1" t="str">
        <f>IF(tblFLOWOD[[#This Row],[nama_asal]]=tblFLOWOD[[#This Row],[nama_tujuan]],"keluar","isi")</f>
        <v>isi</v>
      </c>
      <c r="I1021" s="1" t="str">
        <f>METADATA_SOURCES!$A$2</f>
        <v>SRC001</v>
      </c>
    </row>
    <row r="1022" spans="1:9" x14ac:dyDescent="0.3">
      <c r="A1022" s="1">
        <v>81</v>
      </c>
      <c r="B1022" s="1" t="s">
        <v>72</v>
      </c>
      <c r="C1022" s="1">
        <v>11</v>
      </c>
      <c r="D1022" s="1" t="s">
        <v>42</v>
      </c>
      <c r="E1022" s="8">
        <v>48</v>
      </c>
      <c r="F1022" s="1" t="s">
        <v>81</v>
      </c>
      <c r="G1022" s="1">
        <v>2020</v>
      </c>
      <c r="H1022" s="1" t="str">
        <f>IF(tblFLOWOD[[#This Row],[nama_asal]]=tblFLOWOD[[#This Row],[nama_tujuan]],"keluar","isi")</f>
        <v>isi</v>
      </c>
      <c r="I1022" s="1" t="str">
        <f>METADATA_SOURCES!$A$2</f>
        <v>SRC001</v>
      </c>
    </row>
    <row r="1023" spans="1:9" x14ac:dyDescent="0.3">
      <c r="A1023" s="1">
        <v>81</v>
      </c>
      <c r="B1023" s="1" t="s">
        <v>72</v>
      </c>
      <c r="C1023" s="1">
        <v>12</v>
      </c>
      <c r="D1023" s="1" t="s">
        <v>43</v>
      </c>
      <c r="E1023" s="8">
        <v>101</v>
      </c>
      <c r="F1023" s="1" t="s">
        <v>81</v>
      </c>
      <c r="G1023" s="1">
        <v>2020</v>
      </c>
      <c r="H1023" s="1" t="str">
        <f>IF(tblFLOWOD[[#This Row],[nama_asal]]=tblFLOWOD[[#This Row],[nama_tujuan]],"keluar","isi")</f>
        <v>isi</v>
      </c>
      <c r="I1023" s="1" t="str">
        <f>METADATA_SOURCES!$A$2</f>
        <v>SRC001</v>
      </c>
    </row>
    <row r="1024" spans="1:9" x14ac:dyDescent="0.3">
      <c r="A1024" s="1">
        <v>81</v>
      </c>
      <c r="B1024" s="1" t="s">
        <v>72</v>
      </c>
      <c r="C1024" s="1">
        <v>13</v>
      </c>
      <c r="D1024" s="1" t="s">
        <v>44</v>
      </c>
      <c r="E1024" s="8">
        <v>102</v>
      </c>
      <c r="F1024" s="1" t="s">
        <v>81</v>
      </c>
      <c r="G1024" s="1">
        <v>2020</v>
      </c>
      <c r="H1024" s="1" t="str">
        <f>IF(tblFLOWOD[[#This Row],[nama_asal]]=tblFLOWOD[[#This Row],[nama_tujuan]],"keluar","isi")</f>
        <v>isi</v>
      </c>
      <c r="I1024" s="1" t="str">
        <f>METADATA_SOURCES!$A$2</f>
        <v>SRC001</v>
      </c>
    </row>
    <row r="1025" spans="1:9" x14ac:dyDescent="0.3">
      <c r="A1025" s="1">
        <v>81</v>
      </c>
      <c r="B1025" s="1" t="s">
        <v>72</v>
      </c>
      <c r="C1025" s="1">
        <v>14</v>
      </c>
      <c r="D1025" s="1" t="s">
        <v>45</v>
      </c>
      <c r="E1025" s="8">
        <v>0</v>
      </c>
      <c r="F1025" s="1" t="s">
        <v>81</v>
      </c>
      <c r="G1025" s="1">
        <v>2020</v>
      </c>
      <c r="H1025" s="1" t="str">
        <f>IF(tblFLOWOD[[#This Row],[nama_asal]]=tblFLOWOD[[#This Row],[nama_tujuan]],"keluar","isi")</f>
        <v>isi</v>
      </c>
      <c r="I1025" s="1" t="str">
        <f>METADATA_SOURCES!$A$2</f>
        <v>SRC001</v>
      </c>
    </row>
    <row r="1026" spans="1:9" x14ac:dyDescent="0.3">
      <c r="A1026" s="1">
        <v>81</v>
      </c>
      <c r="B1026" s="1" t="s">
        <v>72</v>
      </c>
      <c r="C1026" s="1">
        <v>15</v>
      </c>
      <c r="D1026" s="1" t="s">
        <v>46</v>
      </c>
      <c r="E1026" s="8">
        <v>35</v>
      </c>
      <c r="F1026" s="1" t="s">
        <v>81</v>
      </c>
      <c r="G1026" s="1">
        <v>2020</v>
      </c>
      <c r="H1026" s="1" t="str">
        <f>IF(tblFLOWOD[[#This Row],[nama_asal]]=tblFLOWOD[[#This Row],[nama_tujuan]],"keluar","isi")</f>
        <v>isi</v>
      </c>
      <c r="I1026" s="1" t="str">
        <f>METADATA_SOURCES!$A$2</f>
        <v>SRC001</v>
      </c>
    </row>
    <row r="1027" spans="1:9" x14ac:dyDescent="0.3">
      <c r="A1027" s="1">
        <v>81</v>
      </c>
      <c r="B1027" s="1" t="s">
        <v>72</v>
      </c>
      <c r="C1027" s="1">
        <v>16</v>
      </c>
      <c r="D1027" s="1" t="s">
        <v>47</v>
      </c>
      <c r="E1027" s="8">
        <v>41</v>
      </c>
      <c r="F1027" s="1" t="s">
        <v>81</v>
      </c>
      <c r="G1027" s="1">
        <v>2020</v>
      </c>
      <c r="H1027" s="1" t="str">
        <f>IF(tblFLOWOD[[#This Row],[nama_asal]]=tblFLOWOD[[#This Row],[nama_tujuan]],"keluar","isi")</f>
        <v>isi</v>
      </c>
      <c r="I1027" s="1" t="str">
        <f>METADATA_SOURCES!$A$2</f>
        <v>SRC001</v>
      </c>
    </row>
    <row r="1028" spans="1:9" x14ac:dyDescent="0.3">
      <c r="A1028" s="1">
        <v>81</v>
      </c>
      <c r="B1028" s="1" t="s">
        <v>72</v>
      </c>
      <c r="C1028" s="1">
        <v>17</v>
      </c>
      <c r="D1028" s="1" t="s">
        <v>48</v>
      </c>
      <c r="E1028" s="8">
        <v>43</v>
      </c>
      <c r="F1028" s="1" t="s">
        <v>81</v>
      </c>
      <c r="G1028" s="1">
        <v>2020</v>
      </c>
      <c r="H1028" s="1" t="str">
        <f>IF(tblFLOWOD[[#This Row],[nama_asal]]=tblFLOWOD[[#This Row],[nama_tujuan]],"keluar","isi")</f>
        <v>isi</v>
      </c>
      <c r="I1028" s="1" t="str">
        <f>METADATA_SOURCES!$A$2</f>
        <v>SRC001</v>
      </c>
    </row>
    <row r="1029" spans="1:9" x14ac:dyDescent="0.3">
      <c r="A1029" s="1">
        <v>81</v>
      </c>
      <c r="B1029" s="1" t="s">
        <v>72</v>
      </c>
      <c r="C1029" s="1">
        <v>18</v>
      </c>
      <c r="D1029" s="1" t="s">
        <v>49</v>
      </c>
      <c r="E1029" s="8">
        <v>142</v>
      </c>
      <c r="F1029" s="1" t="s">
        <v>81</v>
      </c>
      <c r="G1029" s="1">
        <v>2020</v>
      </c>
      <c r="H1029" s="1" t="str">
        <f>IF(tblFLOWOD[[#This Row],[nama_asal]]=tblFLOWOD[[#This Row],[nama_tujuan]],"keluar","isi")</f>
        <v>isi</v>
      </c>
      <c r="I1029" s="1" t="str">
        <f>METADATA_SOURCES!$A$2</f>
        <v>SRC001</v>
      </c>
    </row>
    <row r="1030" spans="1:9" x14ac:dyDescent="0.3">
      <c r="A1030" s="1">
        <v>81</v>
      </c>
      <c r="B1030" s="1" t="s">
        <v>72</v>
      </c>
      <c r="C1030" s="1">
        <v>19</v>
      </c>
      <c r="D1030" s="1" t="s">
        <v>50</v>
      </c>
      <c r="E1030" s="8">
        <v>2</v>
      </c>
      <c r="F1030" s="1" t="s">
        <v>81</v>
      </c>
      <c r="G1030" s="1">
        <v>2020</v>
      </c>
      <c r="H1030" s="1" t="str">
        <f>IF(tblFLOWOD[[#This Row],[nama_asal]]=tblFLOWOD[[#This Row],[nama_tujuan]],"keluar","isi")</f>
        <v>isi</v>
      </c>
      <c r="I1030" s="1" t="str">
        <f>METADATA_SOURCES!$A$2</f>
        <v>SRC001</v>
      </c>
    </row>
    <row r="1031" spans="1:9" x14ac:dyDescent="0.3">
      <c r="A1031" s="1">
        <v>81</v>
      </c>
      <c r="B1031" s="1" t="s">
        <v>72</v>
      </c>
      <c r="C1031" s="1">
        <v>21</v>
      </c>
      <c r="D1031" s="1" t="s">
        <v>51</v>
      </c>
      <c r="E1031" s="8">
        <v>18</v>
      </c>
      <c r="F1031" s="1" t="s">
        <v>81</v>
      </c>
      <c r="G1031" s="1">
        <v>2020</v>
      </c>
      <c r="H1031" s="1" t="str">
        <f>IF(tblFLOWOD[[#This Row],[nama_asal]]=tblFLOWOD[[#This Row],[nama_tujuan]],"keluar","isi")</f>
        <v>isi</v>
      </c>
      <c r="I1031" s="1" t="str">
        <f>METADATA_SOURCES!$A$2</f>
        <v>SRC001</v>
      </c>
    </row>
    <row r="1032" spans="1:9" x14ac:dyDescent="0.3">
      <c r="A1032" s="1">
        <v>81</v>
      </c>
      <c r="B1032" s="1" t="s">
        <v>72</v>
      </c>
      <c r="C1032" s="1">
        <v>31</v>
      </c>
      <c r="D1032" s="1" t="s">
        <v>52</v>
      </c>
      <c r="E1032" s="8">
        <v>616</v>
      </c>
      <c r="F1032" s="1" t="s">
        <v>81</v>
      </c>
      <c r="G1032" s="1">
        <v>2020</v>
      </c>
      <c r="H1032" s="1" t="str">
        <f>IF(tblFLOWOD[[#This Row],[nama_asal]]=tblFLOWOD[[#This Row],[nama_tujuan]],"keluar","isi")</f>
        <v>isi</v>
      </c>
      <c r="I1032" s="1" t="str">
        <f>METADATA_SOURCES!$A$2</f>
        <v>SRC001</v>
      </c>
    </row>
    <row r="1033" spans="1:9" x14ac:dyDescent="0.3">
      <c r="A1033" s="1">
        <v>81</v>
      </c>
      <c r="B1033" s="1" t="s">
        <v>72</v>
      </c>
      <c r="C1033" s="1">
        <v>32</v>
      </c>
      <c r="D1033" s="1" t="s">
        <v>53</v>
      </c>
      <c r="E1033" s="8">
        <v>1101</v>
      </c>
      <c r="F1033" s="1" t="s">
        <v>81</v>
      </c>
      <c r="G1033" s="1">
        <v>2020</v>
      </c>
      <c r="H1033" s="1" t="str">
        <f>IF(tblFLOWOD[[#This Row],[nama_asal]]=tblFLOWOD[[#This Row],[nama_tujuan]],"keluar","isi")</f>
        <v>isi</v>
      </c>
      <c r="I1033" s="1" t="str">
        <f>METADATA_SOURCES!$A$2</f>
        <v>SRC001</v>
      </c>
    </row>
    <row r="1034" spans="1:9" x14ac:dyDescent="0.3">
      <c r="A1034" s="1">
        <v>81</v>
      </c>
      <c r="B1034" s="1" t="s">
        <v>72</v>
      </c>
      <c r="C1034" s="1">
        <v>33</v>
      </c>
      <c r="D1034" s="1" t="s">
        <v>54</v>
      </c>
      <c r="E1034" s="8">
        <v>2105</v>
      </c>
      <c r="F1034" s="1" t="s">
        <v>81</v>
      </c>
      <c r="G1034" s="1">
        <v>2020</v>
      </c>
      <c r="H1034" s="1" t="str">
        <f>IF(tblFLOWOD[[#This Row],[nama_asal]]=tblFLOWOD[[#This Row],[nama_tujuan]],"keluar","isi")</f>
        <v>isi</v>
      </c>
      <c r="I1034" s="1" t="str">
        <f>METADATA_SOURCES!$A$2</f>
        <v>SRC001</v>
      </c>
    </row>
    <row r="1035" spans="1:9" x14ac:dyDescent="0.3">
      <c r="A1035" s="1">
        <v>81</v>
      </c>
      <c r="B1035" s="1" t="s">
        <v>72</v>
      </c>
      <c r="C1035" s="1">
        <v>34</v>
      </c>
      <c r="D1035" s="1" t="s">
        <v>55</v>
      </c>
      <c r="E1035" s="8">
        <v>1271</v>
      </c>
      <c r="F1035" s="1" t="s">
        <v>81</v>
      </c>
      <c r="G1035" s="1">
        <v>2020</v>
      </c>
      <c r="H1035" s="1" t="str">
        <f>IF(tblFLOWOD[[#This Row],[nama_asal]]=tblFLOWOD[[#This Row],[nama_tujuan]],"keluar","isi")</f>
        <v>isi</v>
      </c>
      <c r="I1035" s="1" t="str">
        <f>METADATA_SOURCES!$A$2</f>
        <v>SRC001</v>
      </c>
    </row>
    <row r="1036" spans="1:9" x14ac:dyDescent="0.3">
      <c r="A1036" s="1">
        <v>81</v>
      </c>
      <c r="B1036" s="1" t="s">
        <v>72</v>
      </c>
      <c r="C1036" s="1">
        <v>35</v>
      </c>
      <c r="D1036" s="1" t="s">
        <v>56</v>
      </c>
      <c r="E1036" s="8">
        <v>2084</v>
      </c>
      <c r="F1036" s="1" t="s">
        <v>81</v>
      </c>
      <c r="G1036" s="1">
        <v>2020</v>
      </c>
      <c r="H1036" s="1" t="str">
        <f>IF(tblFLOWOD[[#This Row],[nama_asal]]=tblFLOWOD[[#This Row],[nama_tujuan]],"keluar","isi")</f>
        <v>isi</v>
      </c>
      <c r="I1036" s="1" t="str">
        <f>METADATA_SOURCES!$A$2</f>
        <v>SRC001</v>
      </c>
    </row>
    <row r="1037" spans="1:9" x14ac:dyDescent="0.3">
      <c r="A1037" s="1">
        <v>81</v>
      </c>
      <c r="B1037" s="1" t="s">
        <v>72</v>
      </c>
      <c r="C1037" s="1">
        <v>36</v>
      </c>
      <c r="D1037" s="1" t="s">
        <v>57</v>
      </c>
      <c r="E1037" s="8">
        <v>269</v>
      </c>
      <c r="F1037" s="1" t="s">
        <v>81</v>
      </c>
      <c r="G1037" s="1">
        <v>2020</v>
      </c>
      <c r="H1037" s="1" t="str">
        <f>IF(tblFLOWOD[[#This Row],[nama_asal]]=tblFLOWOD[[#This Row],[nama_tujuan]],"keluar","isi")</f>
        <v>isi</v>
      </c>
      <c r="I1037" s="1" t="str">
        <f>METADATA_SOURCES!$A$2</f>
        <v>SRC001</v>
      </c>
    </row>
    <row r="1038" spans="1:9" x14ac:dyDescent="0.3">
      <c r="A1038" s="1">
        <v>81</v>
      </c>
      <c r="B1038" s="1" t="s">
        <v>72</v>
      </c>
      <c r="C1038" s="1">
        <v>51</v>
      </c>
      <c r="D1038" s="1" t="s">
        <v>58</v>
      </c>
      <c r="E1038" s="8">
        <v>117</v>
      </c>
      <c r="F1038" s="1" t="s">
        <v>81</v>
      </c>
      <c r="G1038" s="1">
        <v>2020</v>
      </c>
      <c r="H1038" s="1" t="str">
        <f>IF(tblFLOWOD[[#This Row],[nama_asal]]=tblFLOWOD[[#This Row],[nama_tujuan]],"keluar","isi")</f>
        <v>isi</v>
      </c>
      <c r="I1038" s="1" t="str">
        <f>METADATA_SOURCES!$A$2</f>
        <v>SRC001</v>
      </c>
    </row>
    <row r="1039" spans="1:9" x14ac:dyDescent="0.3">
      <c r="A1039" s="1">
        <v>81</v>
      </c>
      <c r="B1039" s="1" t="s">
        <v>72</v>
      </c>
      <c r="C1039" s="1">
        <v>52</v>
      </c>
      <c r="D1039" s="1" t="s">
        <v>59</v>
      </c>
      <c r="E1039" s="8">
        <v>146</v>
      </c>
      <c r="F1039" s="1" t="s">
        <v>81</v>
      </c>
      <c r="G1039" s="1">
        <v>2020</v>
      </c>
      <c r="H1039" s="1" t="str">
        <f>IF(tblFLOWOD[[#This Row],[nama_asal]]=tblFLOWOD[[#This Row],[nama_tujuan]],"keluar","isi")</f>
        <v>isi</v>
      </c>
      <c r="I1039" s="1" t="str">
        <f>METADATA_SOURCES!$A$2</f>
        <v>SRC001</v>
      </c>
    </row>
    <row r="1040" spans="1:9" x14ac:dyDescent="0.3">
      <c r="A1040" s="1">
        <v>81</v>
      </c>
      <c r="B1040" s="1" t="s">
        <v>72</v>
      </c>
      <c r="C1040" s="1">
        <v>53</v>
      </c>
      <c r="D1040" s="1" t="s">
        <v>60</v>
      </c>
      <c r="E1040" s="8">
        <v>1229</v>
      </c>
      <c r="F1040" s="1" t="s">
        <v>81</v>
      </c>
      <c r="G1040" s="1">
        <v>2020</v>
      </c>
      <c r="H1040" s="1" t="str">
        <f>IF(tblFLOWOD[[#This Row],[nama_asal]]=tblFLOWOD[[#This Row],[nama_tujuan]],"keluar","isi")</f>
        <v>isi</v>
      </c>
      <c r="I1040" s="1" t="str">
        <f>METADATA_SOURCES!$A$2</f>
        <v>SRC001</v>
      </c>
    </row>
    <row r="1041" spans="1:9" x14ac:dyDescent="0.3">
      <c r="A1041" s="1">
        <v>81</v>
      </c>
      <c r="B1041" s="1" t="s">
        <v>72</v>
      </c>
      <c r="C1041" s="1">
        <v>61</v>
      </c>
      <c r="D1041" s="1" t="s">
        <v>61</v>
      </c>
      <c r="E1041" s="8">
        <v>45</v>
      </c>
      <c r="F1041" s="1" t="s">
        <v>81</v>
      </c>
      <c r="G1041" s="1">
        <v>2020</v>
      </c>
      <c r="H1041" s="1" t="str">
        <f>IF(tblFLOWOD[[#This Row],[nama_asal]]=tblFLOWOD[[#This Row],[nama_tujuan]],"keluar","isi")</f>
        <v>isi</v>
      </c>
      <c r="I1041" s="1" t="str">
        <f>METADATA_SOURCES!$A$2</f>
        <v>SRC001</v>
      </c>
    </row>
    <row r="1042" spans="1:9" x14ac:dyDescent="0.3">
      <c r="A1042" s="1">
        <v>81</v>
      </c>
      <c r="B1042" s="1" t="s">
        <v>72</v>
      </c>
      <c r="C1042" s="1">
        <v>62</v>
      </c>
      <c r="D1042" s="1" t="s">
        <v>62</v>
      </c>
      <c r="E1042" s="8">
        <v>205</v>
      </c>
      <c r="F1042" s="1" t="s">
        <v>81</v>
      </c>
      <c r="G1042" s="1">
        <v>2020</v>
      </c>
      <c r="H1042" s="1" t="str">
        <f>IF(tblFLOWOD[[#This Row],[nama_asal]]=tblFLOWOD[[#This Row],[nama_tujuan]],"keluar","isi")</f>
        <v>isi</v>
      </c>
      <c r="I1042" s="1" t="str">
        <f>METADATA_SOURCES!$A$2</f>
        <v>SRC001</v>
      </c>
    </row>
    <row r="1043" spans="1:9" x14ac:dyDescent="0.3">
      <c r="A1043" s="1">
        <v>81</v>
      </c>
      <c r="B1043" s="1" t="s">
        <v>72</v>
      </c>
      <c r="C1043" s="1">
        <v>63</v>
      </c>
      <c r="D1043" s="1" t="s">
        <v>63</v>
      </c>
      <c r="E1043" s="8">
        <v>13</v>
      </c>
      <c r="F1043" s="1" t="s">
        <v>81</v>
      </c>
      <c r="G1043" s="1">
        <v>2020</v>
      </c>
      <c r="H1043" s="1" t="str">
        <f>IF(tblFLOWOD[[#This Row],[nama_asal]]=tblFLOWOD[[#This Row],[nama_tujuan]],"keluar","isi")</f>
        <v>isi</v>
      </c>
      <c r="I1043" s="1" t="str">
        <f>METADATA_SOURCES!$A$2</f>
        <v>SRC001</v>
      </c>
    </row>
    <row r="1044" spans="1:9" x14ac:dyDescent="0.3">
      <c r="A1044" s="1">
        <v>81</v>
      </c>
      <c r="B1044" s="1" t="s">
        <v>72</v>
      </c>
      <c r="C1044" s="1">
        <v>64</v>
      </c>
      <c r="D1044" s="1" t="s">
        <v>64</v>
      </c>
      <c r="E1044" s="8">
        <v>37</v>
      </c>
      <c r="F1044" s="1" t="s">
        <v>81</v>
      </c>
      <c r="G1044" s="1">
        <v>2020</v>
      </c>
      <c r="H1044" s="1" t="str">
        <f>IF(tblFLOWOD[[#This Row],[nama_asal]]=tblFLOWOD[[#This Row],[nama_tujuan]],"keluar","isi")</f>
        <v>isi</v>
      </c>
      <c r="I1044" s="1" t="str">
        <f>METADATA_SOURCES!$A$2</f>
        <v>SRC001</v>
      </c>
    </row>
    <row r="1045" spans="1:9" x14ac:dyDescent="0.3">
      <c r="A1045" s="1">
        <v>81</v>
      </c>
      <c r="B1045" s="1" t="s">
        <v>72</v>
      </c>
      <c r="C1045" s="1">
        <v>65</v>
      </c>
      <c r="D1045" s="1" t="s">
        <v>65</v>
      </c>
      <c r="E1045" s="8">
        <v>0</v>
      </c>
      <c r="F1045" s="1" t="s">
        <v>81</v>
      </c>
      <c r="G1045" s="1">
        <v>2020</v>
      </c>
      <c r="H1045" s="1" t="str">
        <f>IF(tblFLOWOD[[#This Row],[nama_asal]]=tblFLOWOD[[#This Row],[nama_tujuan]],"keluar","isi")</f>
        <v>isi</v>
      </c>
      <c r="I1045" s="1" t="str">
        <f>METADATA_SOURCES!$A$2</f>
        <v>SRC001</v>
      </c>
    </row>
    <row r="1046" spans="1:9" x14ac:dyDescent="0.3">
      <c r="A1046" s="1">
        <v>81</v>
      </c>
      <c r="B1046" s="1" t="s">
        <v>72</v>
      </c>
      <c r="C1046" s="1">
        <v>71</v>
      </c>
      <c r="D1046" s="1" t="s">
        <v>66</v>
      </c>
      <c r="E1046" s="8">
        <v>636</v>
      </c>
      <c r="F1046" s="1" t="s">
        <v>81</v>
      </c>
      <c r="G1046" s="1">
        <v>2020</v>
      </c>
      <c r="H1046" s="1" t="str">
        <f>IF(tblFLOWOD[[#This Row],[nama_asal]]=tblFLOWOD[[#This Row],[nama_tujuan]],"keluar","isi")</f>
        <v>isi</v>
      </c>
      <c r="I1046" s="1" t="str">
        <f>METADATA_SOURCES!$A$2</f>
        <v>SRC001</v>
      </c>
    </row>
    <row r="1047" spans="1:9" x14ac:dyDescent="0.3">
      <c r="A1047" s="1">
        <v>81</v>
      </c>
      <c r="B1047" s="1" t="s">
        <v>72</v>
      </c>
      <c r="C1047" s="1">
        <v>72</v>
      </c>
      <c r="D1047" s="1" t="s">
        <v>67</v>
      </c>
      <c r="E1047" s="8">
        <v>189</v>
      </c>
      <c r="F1047" s="1" t="s">
        <v>81</v>
      </c>
      <c r="G1047" s="1">
        <v>2020</v>
      </c>
      <c r="H1047" s="1" t="str">
        <f>IF(tblFLOWOD[[#This Row],[nama_asal]]=tblFLOWOD[[#This Row],[nama_tujuan]],"keluar","isi")</f>
        <v>isi</v>
      </c>
      <c r="I1047" s="1" t="str">
        <f>METADATA_SOURCES!$A$2</f>
        <v>SRC001</v>
      </c>
    </row>
    <row r="1048" spans="1:9" x14ac:dyDescent="0.3">
      <c r="A1048" s="1">
        <v>81</v>
      </c>
      <c r="B1048" s="1" t="s">
        <v>72</v>
      </c>
      <c r="C1048" s="1">
        <v>73</v>
      </c>
      <c r="D1048" s="1" t="s">
        <v>68</v>
      </c>
      <c r="E1048" s="8">
        <v>2203</v>
      </c>
      <c r="F1048" s="1" t="s">
        <v>81</v>
      </c>
      <c r="G1048" s="1">
        <v>2020</v>
      </c>
      <c r="H1048" s="1" t="str">
        <f>IF(tblFLOWOD[[#This Row],[nama_asal]]=tblFLOWOD[[#This Row],[nama_tujuan]],"keluar","isi")</f>
        <v>isi</v>
      </c>
      <c r="I1048" s="1" t="str">
        <f>METADATA_SOURCES!$A$2</f>
        <v>SRC001</v>
      </c>
    </row>
    <row r="1049" spans="1:9" x14ac:dyDescent="0.3">
      <c r="A1049" s="1">
        <v>81</v>
      </c>
      <c r="B1049" s="1" t="s">
        <v>72</v>
      </c>
      <c r="C1049" s="1">
        <v>74</v>
      </c>
      <c r="D1049" s="1" t="s">
        <v>69</v>
      </c>
      <c r="E1049" s="8">
        <v>6548</v>
      </c>
      <c r="F1049" s="1" t="s">
        <v>81</v>
      </c>
      <c r="G1049" s="1">
        <v>2020</v>
      </c>
      <c r="H1049" s="1" t="str">
        <f>IF(tblFLOWOD[[#This Row],[nama_asal]]=tblFLOWOD[[#This Row],[nama_tujuan]],"keluar","isi")</f>
        <v>isi</v>
      </c>
      <c r="I1049" s="1" t="str">
        <f>METADATA_SOURCES!$A$2</f>
        <v>SRC001</v>
      </c>
    </row>
    <row r="1050" spans="1:9" x14ac:dyDescent="0.3">
      <c r="A1050" s="1">
        <v>81</v>
      </c>
      <c r="B1050" s="1" t="s">
        <v>72</v>
      </c>
      <c r="C1050" s="1">
        <v>75</v>
      </c>
      <c r="D1050" s="1" t="s">
        <v>70</v>
      </c>
      <c r="E1050" s="8">
        <v>124</v>
      </c>
      <c r="F1050" s="1" t="s">
        <v>81</v>
      </c>
      <c r="G1050" s="1">
        <v>2020</v>
      </c>
      <c r="H1050" s="1" t="str">
        <f>IF(tblFLOWOD[[#This Row],[nama_asal]]=tblFLOWOD[[#This Row],[nama_tujuan]],"keluar","isi")</f>
        <v>isi</v>
      </c>
      <c r="I1050" s="1" t="str">
        <f>METADATA_SOURCES!$A$2</f>
        <v>SRC001</v>
      </c>
    </row>
    <row r="1051" spans="1:9" x14ac:dyDescent="0.3">
      <c r="A1051" s="1">
        <v>81</v>
      </c>
      <c r="B1051" s="1" t="s">
        <v>72</v>
      </c>
      <c r="C1051" s="1">
        <v>76</v>
      </c>
      <c r="D1051" s="1" t="s">
        <v>71</v>
      </c>
      <c r="E1051" s="8">
        <v>132</v>
      </c>
      <c r="F1051" s="1" t="s">
        <v>81</v>
      </c>
      <c r="G1051" s="1">
        <v>2020</v>
      </c>
      <c r="H1051" s="1" t="str">
        <f>IF(tblFLOWOD[[#This Row],[nama_asal]]=tblFLOWOD[[#This Row],[nama_tujuan]],"keluar","isi")</f>
        <v>isi</v>
      </c>
      <c r="I1051" s="1" t="str">
        <f>METADATA_SOURCES!$A$2</f>
        <v>SRC001</v>
      </c>
    </row>
    <row r="1052" spans="1:9" x14ac:dyDescent="0.3">
      <c r="A1052" s="1">
        <v>81</v>
      </c>
      <c r="B1052" s="1" t="s">
        <v>72</v>
      </c>
      <c r="C1052" s="1">
        <v>81</v>
      </c>
      <c r="D1052" s="1" t="s">
        <v>72</v>
      </c>
      <c r="E1052" s="8">
        <v>1691954</v>
      </c>
      <c r="F1052" s="1" t="s">
        <v>81</v>
      </c>
      <c r="G1052" s="1">
        <v>2020</v>
      </c>
      <c r="H1052" s="1" t="str">
        <f>IF(tblFLOWOD[[#This Row],[nama_asal]]=tblFLOWOD[[#This Row],[nama_tujuan]],"keluar","isi")</f>
        <v>keluar</v>
      </c>
      <c r="I1052" s="1" t="str">
        <f>METADATA_SOURCES!$A$2</f>
        <v>SRC001</v>
      </c>
    </row>
    <row r="1053" spans="1:9" x14ac:dyDescent="0.3">
      <c r="A1053" s="1">
        <v>81</v>
      </c>
      <c r="B1053" s="1" t="s">
        <v>72</v>
      </c>
      <c r="C1053" s="1">
        <v>82</v>
      </c>
      <c r="D1053" s="1" t="s">
        <v>73</v>
      </c>
      <c r="E1053" s="8">
        <v>1502</v>
      </c>
      <c r="F1053" s="1" t="s">
        <v>81</v>
      </c>
      <c r="G1053" s="1">
        <v>2020</v>
      </c>
      <c r="H1053" s="1" t="str">
        <f>IF(tblFLOWOD[[#This Row],[nama_asal]]=tblFLOWOD[[#This Row],[nama_tujuan]],"keluar","isi")</f>
        <v>isi</v>
      </c>
      <c r="I1053" s="1" t="str">
        <f>METADATA_SOURCES!$A$2</f>
        <v>SRC001</v>
      </c>
    </row>
    <row r="1054" spans="1:9" x14ac:dyDescent="0.3">
      <c r="A1054" s="1">
        <v>81</v>
      </c>
      <c r="B1054" s="1" t="s">
        <v>72</v>
      </c>
      <c r="C1054" s="1">
        <v>91</v>
      </c>
      <c r="D1054" s="1" t="s">
        <v>74</v>
      </c>
      <c r="E1054" s="8">
        <v>5010</v>
      </c>
      <c r="F1054" s="1" t="s">
        <v>81</v>
      </c>
      <c r="G1054" s="1">
        <v>2020</v>
      </c>
      <c r="H1054" s="1" t="str">
        <f>IF(tblFLOWOD[[#This Row],[nama_asal]]=tblFLOWOD[[#This Row],[nama_tujuan]],"keluar","isi")</f>
        <v>isi</v>
      </c>
      <c r="I1054" s="1" t="str">
        <f>METADATA_SOURCES!$A$2</f>
        <v>SRC001</v>
      </c>
    </row>
    <row r="1055" spans="1:9" x14ac:dyDescent="0.3">
      <c r="A1055" s="1">
        <v>81</v>
      </c>
      <c r="B1055" s="1" t="s">
        <v>72</v>
      </c>
      <c r="C1055" s="1">
        <v>94</v>
      </c>
      <c r="D1055" s="1" t="s">
        <v>75</v>
      </c>
      <c r="E1055" s="8">
        <v>3636</v>
      </c>
      <c r="F1055" s="1" t="s">
        <v>81</v>
      </c>
      <c r="G1055" s="1">
        <v>2020</v>
      </c>
      <c r="H1055" s="1" t="str">
        <f>IF(tblFLOWOD[[#This Row],[nama_asal]]=tblFLOWOD[[#This Row],[nama_tujuan]],"keluar","isi")</f>
        <v>isi</v>
      </c>
      <c r="I1055" s="1" t="str">
        <f>METADATA_SOURCES!$A$2</f>
        <v>SRC001</v>
      </c>
    </row>
    <row r="1056" spans="1:9" x14ac:dyDescent="0.3">
      <c r="A1056" s="1">
        <v>82</v>
      </c>
      <c r="B1056" s="1" t="s">
        <v>73</v>
      </c>
      <c r="C1056" s="1">
        <v>11</v>
      </c>
      <c r="D1056" s="1" t="s">
        <v>42</v>
      </c>
      <c r="E1056" s="8">
        <v>13</v>
      </c>
      <c r="F1056" s="1" t="s">
        <v>81</v>
      </c>
      <c r="G1056" s="1">
        <v>2020</v>
      </c>
      <c r="H1056" s="1" t="str">
        <f>IF(tblFLOWOD[[#This Row],[nama_asal]]=tblFLOWOD[[#This Row],[nama_tujuan]],"keluar","isi")</f>
        <v>isi</v>
      </c>
      <c r="I1056" s="1" t="str">
        <f>METADATA_SOURCES!$A$2</f>
        <v>SRC001</v>
      </c>
    </row>
    <row r="1057" spans="1:9" x14ac:dyDescent="0.3">
      <c r="A1057" s="1">
        <v>82</v>
      </c>
      <c r="B1057" s="1" t="s">
        <v>73</v>
      </c>
      <c r="C1057" s="1">
        <v>12</v>
      </c>
      <c r="D1057" s="1" t="s">
        <v>43</v>
      </c>
      <c r="E1057" s="8">
        <v>12</v>
      </c>
      <c r="F1057" s="1" t="s">
        <v>81</v>
      </c>
      <c r="G1057" s="1">
        <v>2020</v>
      </c>
      <c r="H1057" s="1" t="str">
        <f>IF(tblFLOWOD[[#This Row],[nama_asal]]=tblFLOWOD[[#This Row],[nama_tujuan]],"keluar","isi")</f>
        <v>isi</v>
      </c>
      <c r="I1057" s="1" t="str">
        <f>METADATA_SOURCES!$A$2</f>
        <v>SRC001</v>
      </c>
    </row>
    <row r="1058" spans="1:9" x14ac:dyDescent="0.3">
      <c r="A1058" s="1">
        <v>82</v>
      </c>
      <c r="B1058" s="1" t="s">
        <v>73</v>
      </c>
      <c r="C1058" s="1">
        <v>13</v>
      </c>
      <c r="D1058" s="1" t="s">
        <v>44</v>
      </c>
      <c r="E1058" s="8">
        <v>110</v>
      </c>
      <c r="F1058" s="1" t="s">
        <v>81</v>
      </c>
      <c r="G1058" s="1">
        <v>2020</v>
      </c>
      <c r="H1058" s="1" t="str">
        <f>IF(tblFLOWOD[[#This Row],[nama_asal]]=tblFLOWOD[[#This Row],[nama_tujuan]],"keluar","isi")</f>
        <v>isi</v>
      </c>
      <c r="I1058" s="1" t="str">
        <f>METADATA_SOURCES!$A$2</f>
        <v>SRC001</v>
      </c>
    </row>
    <row r="1059" spans="1:9" x14ac:dyDescent="0.3">
      <c r="A1059" s="1">
        <v>82</v>
      </c>
      <c r="B1059" s="1" t="s">
        <v>73</v>
      </c>
      <c r="C1059" s="1">
        <v>14</v>
      </c>
      <c r="D1059" s="1" t="s">
        <v>45</v>
      </c>
      <c r="E1059" s="8">
        <v>6</v>
      </c>
      <c r="F1059" s="1" t="s">
        <v>81</v>
      </c>
      <c r="G1059" s="1">
        <v>2020</v>
      </c>
      <c r="H1059" s="1" t="str">
        <f>IF(tblFLOWOD[[#This Row],[nama_asal]]=tblFLOWOD[[#This Row],[nama_tujuan]],"keluar","isi")</f>
        <v>isi</v>
      </c>
      <c r="I1059" s="1" t="str">
        <f>METADATA_SOURCES!$A$2</f>
        <v>SRC001</v>
      </c>
    </row>
    <row r="1060" spans="1:9" x14ac:dyDescent="0.3">
      <c r="A1060" s="1">
        <v>82</v>
      </c>
      <c r="B1060" s="1" t="s">
        <v>73</v>
      </c>
      <c r="C1060" s="1">
        <v>15</v>
      </c>
      <c r="D1060" s="1" t="s">
        <v>46</v>
      </c>
      <c r="E1060" s="8">
        <v>5</v>
      </c>
      <c r="F1060" s="1" t="s">
        <v>81</v>
      </c>
      <c r="G1060" s="1">
        <v>2020</v>
      </c>
      <c r="H1060" s="1" t="str">
        <f>IF(tblFLOWOD[[#This Row],[nama_asal]]=tblFLOWOD[[#This Row],[nama_tujuan]],"keluar","isi")</f>
        <v>isi</v>
      </c>
      <c r="I1060" s="1" t="str">
        <f>METADATA_SOURCES!$A$2</f>
        <v>SRC001</v>
      </c>
    </row>
    <row r="1061" spans="1:9" x14ac:dyDescent="0.3">
      <c r="A1061" s="1">
        <v>82</v>
      </c>
      <c r="B1061" s="1" t="s">
        <v>73</v>
      </c>
      <c r="C1061" s="1">
        <v>16</v>
      </c>
      <c r="D1061" s="1" t="s">
        <v>47</v>
      </c>
      <c r="E1061" s="8">
        <v>0</v>
      </c>
      <c r="F1061" s="1" t="s">
        <v>81</v>
      </c>
      <c r="G1061" s="1">
        <v>2020</v>
      </c>
      <c r="H1061" s="1" t="str">
        <f>IF(tblFLOWOD[[#This Row],[nama_asal]]=tblFLOWOD[[#This Row],[nama_tujuan]],"keluar","isi")</f>
        <v>isi</v>
      </c>
      <c r="I1061" s="1" t="str">
        <f>METADATA_SOURCES!$A$2</f>
        <v>SRC001</v>
      </c>
    </row>
    <row r="1062" spans="1:9" x14ac:dyDescent="0.3">
      <c r="A1062" s="1">
        <v>82</v>
      </c>
      <c r="B1062" s="1" t="s">
        <v>73</v>
      </c>
      <c r="C1062" s="1">
        <v>17</v>
      </c>
      <c r="D1062" s="1" t="s">
        <v>48</v>
      </c>
      <c r="E1062" s="8">
        <v>13</v>
      </c>
      <c r="F1062" s="1" t="s">
        <v>81</v>
      </c>
      <c r="G1062" s="1">
        <v>2020</v>
      </c>
      <c r="H1062" s="1" t="str">
        <f>IF(tblFLOWOD[[#This Row],[nama_asal]]=tblFLOWOD[[#This Row],[nama_tujuan]],"keluar","isi")</f>
        <v>isi</v>
      </c>
      <c r="I1062" s="1" t="str">
        <f>METADATA_SOURCES!$A$2</f>
        <v>SRC001</v>
      </c>
    </row>
    <row r="1063" spans="1:9" x14ac:dyDescent="0.3">
      <c r="A1063" s="1">
        <v>82</v>
      </c>
      <c r="B1063" s="1" t="s">
        <v>73</v>
      </c>
      <c r="C1063" s="1">
        <v>18</v>
      </c>
      <c r="D1063" s="1" t="s">
        <v>49</v>
      </c>
      <c r="E1063" s="8">
        <v>0</v>
      </c>
      <c r="F1063" s="1" t="s">
        <v>81</v>
      </c>
      <c r="G1063" s="1">
        <v>2020</v>
      </c>
      <c r="H1063" s="1" t="str">
        <f>IF(tblFLOWOD[[#This Row],[nama_asal]]=tblFLOWOD[[#This Row],[nama_tujuan]],"keluar","isi")</f>
        <v>isi</v>
      </c>
      <c r="I1063" s="1" t="str">
        <f>METADATA_SOURCES!$A$2</f>
        <v>SRC001</v>
      </c>
    </row>
    <row r="1064" spans="1:9" x14ac:dyDescent="0.3">
      <c r="A1064" s="1">
        <v>82</v>
      </c>
      <c r="B1064" s="1" t="s">
        <v>73</v>
      </c>
      <c r="C1064" s="1">
        <v>19</v>
      </c>
      <c r="D1064" s="1" t="s">
        <v>50</v>
      </c>
      <c r="E1064" s="8">
        <v>22</v>
      </c>
      <c r="F1064" s="1" t="s">
        <v>81</v>
      </c>
      <c r="G1064" s="1">
        <v>2020</v>
      </c>
      <c r="H1064" s="1" t="str">
        <f>IF(tblFLOWOD[[#This Row],[nama_asal]]=tblFLOWOD[[#This Row],[nama_tujuan]],"keluar","isi")</f>
        <v>isi</v>
      </c>
      <c r="I1064" s="1" t="str">
        <f>METADATA_SOURCES!$A$2</f>
        <v>SRC001</v>
      </c>
    </row>
    <row r="1065" spans="1:9" x14ac:dyDescent="0.3">
      <c r="A1065" s="1">
        <v>82</v>
      </c>
      <c r="B1065" s="1" t="s">
        <v>73</v>
      </c>
      <c r="C1065" s="1">
        <v>21</v>
      </c>
      <c r="D1065" s="1" t="s">
        <v>51</v>
      </c>
      <c r="E1065" s="8">
        <v>0</v>
      </c>
      <c r="F1065" s="1" t="s">
        <v>81</v>
      </c>
      <c r="G1065" s="1">
        <v>2020</v>
      </c>
      <c r="H1065" s="1" t="str">
        <f>IF(tblFLOWOD[[#This Row],[nama_asal]]=tblFLOWOD[[#This Row],[nama_tujuan]],"keluar","isi")</f>
        <v>isi</v>
      </c>
      <c r="I1065" s="1" t="str">
        <f>METADATA_SOURCES!$A$2</f>
        <v>SRC001</v>
      </c>
    </row>
    <row r="1066" spans="1:9" x14ac:dyDescent="0.3">
      <c r="A1066" s="1">
        <v>82</v>
      </c>
      <c r="B1066" s="1" t="s">
        <v>73</v>
      </c>
      <c r="C1066" s="1">
        <v>31</v>
      </c>
      <c r="D1066" s="1" t="s">
        <v>52</v>
      </c>
      <c r="E1066" s="8">
        <v>242</v>
      </c>
      <c r="F1066" s="1" t="s">
        <v>81</v>
      </c>
      <c r="G1066" s="1">
        <v>2020</v>
      </c>
      <c r="H1066" s="1" t="str">
        <f>IF(tblFLOWOD[[#This Row],[nama_asal]]=tblFLOWOD[[#This Row],[nama_tujuan]],"keluar","isi")</f>
        <v>isi</v>
      </c>
      <c r="I1066" s="1" t="str">
        <f>METADATA_SOURCES!$A$2</f>
        <v>SRC001</v>
      </c>
    </row>
    <row r="1067" spans="1:9" x14ac:dyDescent="0.3">
      <c r="A1067" s="1">
        <v>82</v>
      </c>
      <c r="B1067" s="1" t="s">
        <v>73</v>
      </c>
      <c r="C1067" s="1">
        <v>32</v>
      </c>
      <c r="D1067" s="1" t="s">
        <v>53</v>
      </c>
      <c r="E1067" s="8">
        <v>294</v>
      </c>
      <c r="F1067" s="1" t="s">
        <v>81</v>
      </c>
      <c r="G1067" s="1">
        <v>2020</v>
      </c>
      <c r="H1067" s="1" t="str">
        <f>IF(tblFLOWOD[[#This Row],[nama_asal]]=tblFLOWOD[[#This Row],[nama_tujuan]],"keluar","isi")</f>
        <v>isi</v>
      </c>
      <c r="I1067" s="1" t="str">
        <f>METADATA_SOURCES!$A$2</f>
        <v>SRC001</v>
      </c>
    </row>
    <row r="1068" spans="1:9" x14ac:dyDescent="0.3">
      <c r="A1068" s="1">
        <v>82</v>
      </c>
      <c r="B1068" s="1" t="s">
        <v>73</v>
      </c>
      <c r="C1068" s="1">
        <v>33</v>
      </c>
      <c r="D1068" s="1" t="s">
        <v>54</v>
      </c>
      <c r="E1068" s="8">
        <v>848</v>
      </c>
      <c r="F1068" s="1" t="s">
        <v>81</v>
      </c>
      <c r="G1068" s="1">
        <v>2020</v>
      </c>
      <c r="H1068" s="1" t="str">
        <f>IF(tblFLOWOD[[#This Row],[nama_asal]]=tblFLOWOD[[#This Row],[nama_tujuan]],"keluar","isi")</f>
        <v>isi</v>
      </c>
      <c r="I1068" s="1" t="str">
        <f>METADATA_SOURCES!$A$2</f>
        <v>SRC001</v>
      </c>
    </row>
    <row r="1069" spans="1:9" x14ac:dyDescent="0.3">
      <c r="A1069" s="1">
        <v>82</v>
      </c>
      <c r="B1069" s="1" t="s">
        <v>73</v>
      </c>
      <c r="C1069" s="1">
        <v>34</v>
      </c>
      <c r="D1069" s="1" t="s">
        <v>55</v>
      </c>
      <c r="E1069" s="8">
        <v>452</v>
      </c>
      <c r="F1069" s="1" t="s">
        <v>81</v>
      </c>
      <c r="G1069" s="1">
        <v>2020</v>
      </c>
      <c r="H1069" s="1" t="str">
        <f>IF(tblFLOWOD[[#This Row],[nama_asal]]=tblFLOWOD[[#This Row],[nama_tujuan]],"keluar","isi")</f>
        <v>isi</v>
      </c>
      <c r="I1069" s="1" t="str">
        <f>METADATA_SOURCES!$A$2</f>
        <v>SRC001</v>
      </c>
    </row>
    <row r="1070" spans="1:9" x14ac:dyDescent="0.3">
      <c r="A1070" s="1">
        <v>82</v>
      </c>
      <c r="B1070" s="1" t="s">
        <v>73</v>
      </c>
      <c r="C1070" s="1">
        <v>35</v>
      </c>
      <c r="D1070" s="1" t="s">
        <v>56</v>
      </c>
      <c r="E1070" s="8">
        <v>1104</v>
      </c>
      <c r="F1070" s="1" t="s">
        <v>81</v>
      </c>
      <c r="G1070" s="1">
        <v>2020</v>
      </c>
      <c r="H1070" s="1" t="str">
        <f>IF(tblFLOWOD[[#This Row],[nama_asal]]=tblFLOWOD[[#This Row],[nama_tujuan]],"keluar","isi")</f>
        <v>isi</v>
      </c>
      <c r="I1070" s="1" t="str">
        <f>METADATA_SOURCES!$A$2</f>
        <v>SRC001</v>
      </c>
    </row>
    <row r="1071" spans="1:9" x14ac:dyDescent="0.3">
      <c r="A1071" s="1">
        <v>82</v>
      </c>
      <c r="B1071" s="1" t="s">
        <v>73</v>
      </c>
      <c r="C1071" s="1">
        <v>36</v>
      </c>
      <c r="D1071" s="1" t="s">
        <v>57</v>
      </c>
      <c r="E1071" s="8">
        <v>18</v>
      </c>
      <c r="F1071" s="1" t="s">
        <v>81</v>
      </c>
      <c r="G1071" s="1">
        <v>2020</v>
      </c>
      <c r="H1071" s="1" t="str">
        <f>IF(tblFLOWOD[[#This Row],[nama_asal]]=tblFLOWOD[[#This Row],[nama_tujuan]],"keluar","isi")</f>
        <v>isi</v>
      </c>
      <c r="I1071" s="1" t="str">
        <f>METADATA_SOURCES!$A$2</f>
        <v>SRC001</v>
      </c>
    </row>
    <row r="1072" spans="1:9" x14ac:dyDescent="0.3">
      <c r="A1072" s="1">
        <v>82</v>
      </c>
      <c r="B1072" s="1" t="s">
        <v>73</v>
      </c>
      <c r="C1072" s="1">
        <v>51</v>
      </c>
      <c r="D1072" s="1" t="s">
        <v>58</v>
      </c>
      <c r="E1072" s="8">
        <v>22</v>
      </c>
      <c r="F1072" s="1" t="s">
        <v>81</v>
      </c>
      <c r="G1072" s="1">
        <v>2020</v>
      </c>
      <c r="H1072" s="1" t="str">
        <f>IF(tblFLOWOD[[#This Row],[nama_asal]]=tblFLOWOD[[#This Row],[nama_tujuan]],"keluar","isi")</f>
        <v>isi</v>
      </c>
      <c r="I1072" s="1" t="str">
        <f>METADATA_SOURCES!$A$2</f>
        <v>SRC001</v>
      </c>
    </row>
    <row r="1073" spans="1:9" x14ac:dyDescent="0.3">
      <c r="A1073" s="1">
        <v>82</v>
      </c>
      <c r="B1073" s="1" t="s">
        <v>73</v>
      </c>
      <c r="C1073" s="1">
        <v>52</v>
      </c>
      <c r="D1073" s="1" t="s">
        <v>59</v>
      </c>
      <c r="E1073" s="8">
        <v>15</v>
      </c>
      <c r="F1073" s="1" t="s">
        <v>81</v>
      </c>
      <c r="G1073" s="1">
        <v>2020</v>
      </c>
      <c r="H1073" s="1" t="str">
        <f>IF(tblFLOWOD[[#This Row],[nama_asal]]=tblFLOWOD[[#This Row],[nama_tujuan]],"keluar","isi")</f>
        <v>isi</v>
      </c>
      <c r="I1073" s="1" t="str">
        <f>METADATA_SOURCES!$A$2</f>
        <v>SRC001</v>
      </c>
    </row>
    <row r="1074" spans="1:9" x14ac:dyDescent="0.3">
      <c r="A1074" s="1">
        <v>82</v>
      </c>
      <c r="B1074" s="1" t="s">
        <v>73</v>
      </c>
      <c r="C1074" s="1">
        <v>53</v>
      </c>
      <c r="D1074" s="1" t="s">
        <v>60</v>
      </c>
      <c r="E1074" s="8">
        <v>138</v>
      </c>
      <c r="F1074" s="1" t="s">
        <v>81</v>
      </c>
      <c r="G1074" s="1">
        <v>2020</v>
      </c>
      <c r="H1074" s="1" t="str">
        <f>IF(tblFLOWOD[[#This Row],[nama_asal]]=tblFLOWOD[[#This Row],[nama_tujuan]],"keluar","isi")</f>
        <v>isi</v>
      </c>
      <c r="I1074" s="1" t="str">
        <f>METADATA_SOURCES!$A$2</f>
        <v>SRC001</v>
      </c>
    </row>
    <row r="1075" spans="1:9" x14ac:dyDescent="0.3">
      <c r="A1075" s="1">
        <v>82</v>
      </c>
      <c r="B1075" s="1" t="s">
        <v>73</v>
      </c>
      <c r="C1075" s="1">
        <v>61</v>
      </c>
      <c r="D1075" s="1" t="s">
        <v>61</v>
      </c>
      <c r="E1075" s="8">
        <v>111</v>
      </c>
      <c r="F1075" s="1" t="s">
        <v>81</v>
      </c>
      <c r="G1075" s="1">
        <v>2020</v>
      </c>
      <c r="H1075" s="1" t="str">
        <f>IF(tblFLOWOD[[#This Row],[nama_asal]]=tblFLOWOD[[#This Row],[nama_tujuan]],"keluar","isi")</f>
        <v>isi</v>
      </c>
      <c r="I1075" s="1" t="str">
        <f>METADATA_SOURCES!$A$2</f>
        <v>SRC001</v>
      </c>
    </row>
    <row r="1076" spans="1:9" x14ac:dyDescent="0.3">
      <c r="A1076" s="1">
        <v>82</v>
      </c>
      <c r="B1076" s="1" t="s">
        <v>73</v>
      </c>
      <c r="C1076" s="1">
        <v>62</v>
      </c>
      <c r="D1076" s="1" t="s">
        <v>62</v>
      </c>
      <c r="E1076" s="8">
        <v>56</v>
      </c>
      <c r="F1076" s="1" t="s">
        <v>81</v>
      </c>
      <c r="G1076" s="1">
        <v>2020</v>
      </c>
      <c r="H1076" s="1" t="str">
        <f>IF(tblFLOWOD[[#This Row],[nama_asal]]=tblFLOWOD[[#This Row],[nama_tujuan]],"keluar","isi")</f>
        <v>isi</v>
      </c>
      <c r="I1076" s="1" t="str">
        <f>METADATA_SOURCES!$A$2</f>
        <v>SRC001</v>
      </c>
    </row>
    <row r="1077" spans="1:9" x14ac:dyDescent="0.3">
      <c r="A1077" s="1">
        <v>82</v>
      </c>
      <c r="B1077" s="1" t="s">
        <v>73</v>
      </c>
      <c r="C1077" s="1">
        <v>63</v>
      </c>
      <c r="D1077" s="1" t="s">
        <v>63</v>
      </c>
      <c r="E1077" s="8">
        <v>73</v>
      </c>
      <c r="F1077" s="1" t="s">
        <v>81</v>
      </c>
      <c r="G1077" s="1">
        <v>2020</v>
      </c>
      <c r="H1077" s="1" t="str">
        <f>IF(tblFLOWOD[[#This Row],[nama_asal]]=tblFLOWOD[[#This Row],[nama_tujuan]],"keluar","isi")</f>
        <v>isi</v>
      </c>
      <c r="I1077" s="1" t="str">
        <f>METADATA_SOURCES!$A$2</f>
        <v>SRC001</v>
      </c>
    </row>
    <row r="1078" spans="1:9" x14ac:dyDescent="0.3">
      <c r="A1078" s="1">
        <v>82</v>
      </c>
      <c r="B1078" s="1" t="s">
        <v>73</v>
      </c>
      <c r="C1078" s="1">
        <v>64</v>
      </c>
      <c r="D1078" s="1" t="s">
        <v>64</v>
      </c>
      <c r="E1078" s="8">
        <v>53</v>
      </c>
      <c r="F1078" s="1" t="s">
        <v>81</v>
      </c>
      <c r="G1078" s="1">
        <v>2020</v>
      </c>
      <c r="H1078" s="1" t="str">
        <f>IF(tblFLOWOD[[#This Row],[nama_asal]]=tblFLOWOD[[#This Row],[nama_tujuan]],"keluar","isi")</f>
        <v>isi</v>
      </c>
      <c r="I1078" s="1" t="str">
        <f>METADATA_SOURCES!$A$2</f>
        <v>SRC001</v>
      </c>
    </row>
    <row r="1079" spans="1:9" x14ac:dyDescent="0.3">
      <c r="A1079" s="1">
        <v>82</v>
      </c>
      <c r="B1079" s="1" t="s">
        <v>73</v>
      </c>
      <c r="C1079" s="1">
        <v>65</v>
      </c>
      <c r="D1079" s="1" t="s">
        <v>65</v>
      </c>
      <c r="E1079" s="8">
        <v>0</v>
      </c>
      <c r="F1079" s="1" t="s">
        <v>81</v>
      </c>
      <c r="G1079" s="1">
        <v>2020</v>
      </c>
      <c r="H1079" s="1" t="str">
        <f>IF(tblFLOWOD[[#This Row],[nama_asal]]=tblFLOWOD[[#This Row],[nama_tujuan]],"keluar","isi")</f>
        <v>isi</v>
      </c>
      <c r="I1079" s="1" t="str">
        <f>METADATA_SOURCES!$A$2</f>
        <v>SRC001</v>
      </c>
    </row>
    <row r="1080" spans="1:9" x14ac:dyDescent="0.3">
      <c r="A1080" s="1">
        <v>82</v>
      </c>
      <c r="B1080" s="1" t="s">
        <v>73</v>
      </c>
      <c r="C1080" s="1">
        <v>71</v>
      </c>
      <c r="D1080" s="1" t="s">
        <v>66</v>
      </c>
      <c r="E1080" s="8">
        <v>1824</v>
      </c>
      <c r="F1080" s="1" t="s">
        <v>81</v>
      </c>
      <c r="G1080" s="1">
        <v>2020</v>
      </c>
      <c r="H1080" s="1" t="str">
        <f>IF(tblFLOWOD[[#This Row],[nama_asal]]=tblFLOWOD[[#This Row],[nama_tujuan]],"keluar","isi")</f>
        <v>isi</v>
      </c>
      <c r="I1080" s="1" t="str">
        <f>METADATA_SOURCES!$A$2</f>
        <v>SRC001</v>
      </c>
    </row>
    <row r="1081" spans="1:9" x14ac:dyDescent="0.3">
      <c r="A1081" s="1">
        <v>82</v>
      </c>
      <c r="B1081" s="1" t="s">
        <v>73</v>
      </c>
      <c r="C1081" s="1">
        <v>72</v>
      </c>
      <c r="D1081" s="1" t="s">
        <v>67</v>
      </c>
      <c r="E1081" s="8">
        <v>392</v>
      </c>
      <c r="F1081" s="1" t="s">
        <v>81</v>
      </c>
      <c r="G1081" s="1">
        <v>2020</v>
      </c>
      <c r="H1081" s="1" t="str">
        <f>IF(tblFLOWOD[[#This Row],[nama_asal]]=tblFLOWOD[[#This Row],[nama_tujuan]],"keluar","isi")</f>
        <v>isi</v>
      </c>
      <c r="I1081" s="1" t="str">
        <f>METADATA_SOURCES!$A$2</f>
        <v>SRC001</v>
      </c>
    </row>
    <row r="1082" spans="1:9" x14ac:dyDescent="0.3">
      <c r="A1082" s="1">
        <v>82</v>
      </c>
      <c r="B1082" s="1" t="s">
        <v>73</v>
      </c>
      <c r="C1082" s="1">
        <v>73</v>
      </c>
      <c r="D1082" s="1" t="s">
        <v>68</v>
      </c>
      <c r="E1082" s="8">
        <v>1972</v>
      </c>
      <c r="F1082" s="1" t="s">
        <v>81</v>
      </c>
      <c r="G1082" s="1">
        <v>2020</v>
      </c>
      <c r="H1082" s="1" t="str">
        <f>IF(tblFLOWOD[[#This Row],[nama_asal]]=tblFLOWOD[[#This Row],[nama_tujuan]],"keluar","isi")</f>
        <v>isi</v>
      </c>
      <c r="I1082" s="1" t="str">
        <f>METADATA_SOURCES!$A$2</f>
        <v>SRC001</v>
      </c>
    </row>
    <row r="1083" spans="1:9" x14ac:dyDescent="0.3">
      <c r="A1083" s="1">
        <v>82</v>
      </c>
      <c r="B1083" s="1" t="s">
        <v>73</v>
      </c>
      <c r="C1083" s="1">
        <v>74</v>
      </c>
      <c r="D1083" s="1" t="s">
        <v>69</v>
      </c>
      <c r="E1083" s="8">
        <v>3518</v>
      </c>
      <c r="F1083" s="1" t="s">
        <v>81</v>
      </c>
      <c r="G1083" s="1">
        <v>2020</v>
      </c>
      <c r="H1083" s="1" t="str">
        <f>IF(tblFLOWOD[[#This Row],[nama_asal]]=tblFLOWOD[[#This Row],[nama_tujuan]],"keluar","isi")</f>
        <v>isi</v>
      </c>
      <c r="I1083" s="1" t="str">
        <f>METADATA_SOURCES!$A$2</f>
        <v>SRC001</v>
      </c>
    </row>
    <row r="1084" spans="1:9" x14ac:dyDescent="0.3">
      <c r="A1084" s="1">
        <v>82</v>
      </c>
      <c r="B1084" s="1" t="s">
        <v>73</v>
      </c>
      <c r="C1084" s="1">
        <v>75</v>
      </c>
      <c r="D1084" s="1" t="s">
        <v>70</v>
      </c>
      <c r="E1084" s="8">
        <v>567</v>
      </c>
      <c r="F1084" s="1" t="s">
        <v>81</v>
      </c>
      <c r="G1084" s="1">
        <v>2020</v>
      </c>
      <c r="H1084" s="1" t="str">
        <f>IF(tblFLOWOD[[#This Row],[nama_asal]]=tblFLOWOD[[#This Row],[nama_tujuan]],"keluar","isi")</f>
        <v>isi</v>
      </c>
      <c r="I1084" s="1" t="str">
        <f>METADATA_SOURCES!$A$2</f>
        <v>SRC001</v>
      </c>
    </row>
    <row r="1085" spans="1:9" x14ac:dyDescent="0.3">
      <c r="A1085" s="1">
        <v>82</v>
      </c>
      <c r="B1085" s="1" t="s">
        <v>73</v>
      </c>
      <c r="C1085" s="1">
        <v>76</v>
      </c>
      <c r="D1085" s="1" t="s">
        <v>71</v>
      </c>
      <c r="E1085" s="8">
        <v>59</v>
      </c>
      <c r="F1085" s="1" t="s">
        <v>81</v>
      </c>
      <c r="G1085" s="1">
        <v>2020</v>
      </c>
      <c r="H1085" s="1" t="str">
        <f>IF(tblFLOWOD[[#This Row],[nama_asal]]=tblFLOWOD[[#This Row],[nama_tujuan]],"keluar","isi")</f>
        <v>isi</v>
      </c>
      <c r="I1085" s="1" t="str">
        <f>METADATA_SOURCES!$A$2</f>
        <v>SRC001</v>
      </c>
    </row>
    <row r="1086" spans="1:9" x14ac:dyDescent="0.3">
      <c r="A1086" s="1">
        <v>82</v>
      </c>
      <c r="B1086" s="1" t="s">
        <v>73</v>
      </c>
      <c r="C1086" s="1">
        <v>81</v>
      </c>
      <c r="D1086" s="1" t="s">
        <v>72</v>
      </c>
      <c r="E1086" s="8">
        <v>1996</v>
      </c>
      <c r="F1086" s="1" t="s">
        <v>81</v>
      </c>
      <c r="G1086" s="1">
        <v>2020</v>
      </c>
      <c r="H1086" s="1" t="str">
        <f>IF(tblFLOWOD[[#This Row],[nama_asal]]=tblFLOWOD[[#This Row],[nama_tujuan]],"keluar","isi")</f>
        <v>isi</v>
      </c>
      <c r="I1086" s="1" t="str">
        <f>METADATA_SOURCES!$A$2</f>
        <v>SRC001</v>
      </c>
    </row>
    <row r="1087" spans="1:9" x14ac:dyDescent="0.3">
      <c r="A1087" s="1">
        <v>82</v>
      </c>
      <c r="B1087" s="1" t="s">
        <v>73</v>
      </c>
      <c r="C1087" s="1">
        <v>82</v>
      </c>
      <c r="D1087" s="1" t="s">
        <v>73</v>
      </c>
      <c r="E1087" s="8">
        <v>1180970</v>
      </c>
      <c r="F1087" s="1" t="s">
        <v>81</v>
      </c>
      <c r="G1087" s="1">
        <v>2020</v>
      </c>
      <c r="H1087" s="1" t="str">
        <f>IF(tblFLOWOD[[#This Row],[nama_asal]]=tblFLOWOD[[#This Row],[nama_tujuan]],"keluar","isi")</f>
        <v>keluar</v>
      </c>
      <c r="I1087" s="1" t="str">
        <f>METADATA_SOURCES!$A$2</f>
        <v>SRC001</v>
      </c>
    </row>
    <row r="1088" spans="1:9" x14ac:dyDescent="0.3">
      <c r="A1088" s="1">
        <v>82</v>
      </c>
      <c r="B1088" s="1" t="s">
        <v>73</v>
      </c>
      <c r="C1088" s="1">
        <v>91</v>
      </c>
      <c r="D1088" s="1" t="s">
        <v>74</v>
      </c>
      <c r="E1088" s="8">
        <v>1022</v>
      </c>
      <c r="F1088" s="1" t="s">
        <v>81</v>
      </c>
      <c r="G1088" s="1">
        <v>2020</v>
      </c>
      <c r="H1088" s="1" t="str">
        <f>IF(tblFLOWOD[[#This Row],[nama_asal]]=tblFLOWOD[[#This Row],[nama_tujuan]],"keluar","isi")</f>
        <v>isi</v>
      </c>
      <c r="I1088" s="1" t="str">
        <f>METADATA_SOURCES!$A$2</f>
        <v>SRC001</v>
      </c>
    </row>
    <row r="1089" spans="1:9" x14ac:dyDescent="0.3">
      <c r="A1089" s="1">
        <v>82</v>
      </c>
      <c r="B1089" s="1" t="s">
        <v>73</v>
      </c>
      <c r="C1089" s="1">
        <v>94</v>
      </c>
      <c r="D1089" s="1" t="s">
        <v>75</v>
      </c>
      <c r="E1089" s="8">
        <v>326</v>
      </c>
      <c r="F1089" s="1" t="s">
        <v>81</v>
      </c>
      <c r="G1089" s="1">
        <v>2020</v>
      </c>
      <c r="H1089" s="1" t="str">
        <f>IF(tblFLOWOD[[#This Row],[nama_asal]]=tblFLOWOD[[#This Row],[nama_tujuan]],"keluar","isi")</f>
        <v>isi</v>
      </c>
      <c r="I1089" s="1" t="str">
        <f>METADATA_SOURCES!$A$2</f>
        <v>SRC001</v>
      </c>
    </row>
    <row r="1090" spans="1:9" x14ac:dyDescent="0.3">
      <c r="A1090" s="1">
        <v>91</v>
      </c>
      <c r="B1090" s="1" t="s">
        <v>74</v>
      </c>
      <c r="C1090" s="1">
        <v>11</v>
      </c>
      <c r="D1090" s="1" t="s">
        <v>42</v>
      </c>
      <c r="E1090" s="8">
        <v>32</v>
      </c>
      <c r="F1090" s="1" t="s">
        <v>81</v>
      </c>
      <c r="G1090" s="1">
        <v>2020</v>
      </c>
      <c r="H1090" s="1" t="str">
        <f>IF(tblFLOWOD[[#This Row],[nama_asal]]=tblFLOWOD[[#This Row],[nama_tujuan]],"keluar","isi")</f>
        <v>isi</v>
      </c>
      <c r="I1090" s="1" t="str">
        <f>METADATA_SOURCES!$A$2</f>
        <v>SRC001</v>
      </c>
    </row>
    <row r="1091" spans="1:9" x14ac:dyDescent="0.3">
      <c r="A1091" s="1">
        <v>91</v>
      </c>
      <c r="B1091" s="1" t="s">
        <v>74</v>
      </c>
      <c r="C1091" s="1">
        <v>12</v>
      </c>
      <c r="D1091" s="1" t="s">
        <v>43</v>
      </c>
      <c r="E1091" s="8">
        <v>324</v>
      </c>
      <c r="F1091" s="1" t="s">
        <v>81</v>
      </c>
      <c r="G1091" s="1">
        <v>2020</v>
      </c>
      <c r="H1091" s="1" t="str">
        <f>IF(tblFLOWOD[[#This Row],[nama_asal]]=tblFLOWOD[[#This Row],[nama_tujuan]],"keluar","isi")</f>
        <v>isi</v>
      </c>
      <c r="I1091" s="1" t="str">
        <f>METADATA_SOURCES!$A$2</f>
        <v>SRC001</v>
      </c>
    </row>
    <row r="1092" spans="1:9" x14ac:dyDescent="0.3">
      <c r="A1092" s="1">
        <v>91</v>
      </c>
      <c r="B1092" s="1" t="s">
        <v>74</v>
      </c>
      <c r="C1092" s="1">
        <v>13</v>
      </c>
      <c r="D1092" s="1" t="s">
        <v>44</v>
      </c>
      <c r="E1092" s="8">
        <v>316</v>
      </c>
      <c r="F1092" s="1" t="s">
        <v>81</v>
      </c>
      <c r="G1092" s="1">
        <v>2020</v>
      </c>
      <c r="H1092" s="1" t="str">
        <f>IF(tblFLOWOD[[#This Row],[nama_asal]]=tblFLOWOD[[#This Row],[nama_tujuan]],"keluar","isi")</f>
        <v>isi</v>
      </c>
      <c r="I1092" s="1" t="str">
        <f>METADATA_SOURCES!$A$2</f>
        <v>SRC001</v>
      </c>
    </row>
    <row r="1093" spans="1:9" x14ac:dyDescent="0.3">
      <c r="A1093" s="1">
        <v>91</v>
      </c>
      <c r="B1093" s="1" t="s">
        <v>74</v>
      </c>
      <c r="C1093" s="1">
        <v>14</v>
      </c>
      <c r="D1093" s="1" t="s">
        <v>45</v>
      </c>
      <c r="E1093" s="8">
        <v>22</v>
      </c>
      <c r="F1093" s="1" t="s">
        <v>81</v>
      </c>
      <c r="G1093" s="1">
        <v>2020</v>
      </c>
      <c r="H1093" s="1" t="str">
        <f>IF(tblFLOWOD[[#This Row],[nama_asal]]=tblFLOWOD[[#This Row],[nama_tujuan]],"keluar","isi")</f>
        <v>isi</v>
      </c>
      <c r="I1093" s="1" t="str">
        <f>METADATA_SOURCES!$A$2</f>
        <v>SRC001</v>
      </c>
    </row>
    <row r="1094" spans="1:9" x14ac:dyDescent="0.3">
      <c r="A1094" s="1">
        <v>91</v>
      </c>
      <c r="B1094" s="1" t="s">
        <v>74</v>
      </c>
      <c r="C1094" s="1">
        <v>15</v>
      </c>
      <c r="D1094" s="1" t="s">
        <v>46</v>
      </c>
      <c r="E1094" s="8">
        <v>0</v>
      </c>
      <c r="F1094" s="1" t="s">
        <v>81</v>
      </c>
      <c r="G1094" s="1">
        <v>2020</v>
      </c>
      <c r="H1094" s="1" t="str">
        <f>IF(tblFLOWOD[[#This Row],[nama_asal]]=tblFLOWOD[[#This Row],[nama_tujuan]],"keluar","isi")</f>
        <v>isi</v>
      </c>
      <c r="I1094" s="1" t="str">
        <f>METADATA_SOURCES!$A$2</f>
        <v>SRC001</v>
      </c>
    </row>
    <row r="1095" spans="1:9" x14ac:dyDescent="0.3">
      <c r="A1095" s="1">
        <v>91</v>
      </c>
      <c r="B1095" s="1" t="s">
        <v>74</v>
      </c>
      <c r="C1095" s="1">
        <v>16</v>
      </c>
      <c r="D1095" s="1" t="s">
        <v>47</v>
      </c>
      <c r="E1095" s="8">
        <v>0</v>
      </c>
      <c r="F1095" s="1" t="s">
        <v>81</v>
      </c>
      <c r="G1095" s="1">
        <v>2020</v>
      </c>
      <c r="H1095" s="1" t="str">
        <f>IF(tblFLOWOD[[#This Row],[nama_asal]]=tblFLOWOD[[#This Row],[nama_tujuan]],"keluar","isi")</f>
        <v>isi</v>
      </c>
      <c r="I1095" s="1" t="str">
        <f>METADATA_SOURCES!$A$2</f>
        <v>SRC001</v>
      </c>
    </row>
    <row r="1096" spans="1:9" x14ac:dyDescent="0.3">
      <c r="A1096" s="1">
        <v>91</v>
      </c>
      <c r="B1096" s="1" t="s">
        <v>74</v>
      </c>
      <c r="C1096" s="1">
        <v>17</v>
      </c>
      <c r="D1096" s="1" t="s">
        <v>48</v>
      </c>
      <c r="E1096" s="8">
        <v>4</v>
      </c>
      <c r="F1096" s="1" t="s">
        <v>81</v>
      </c>
      <c r="G1096" s="1">
        <v>2020</v>
      </c>
      <c r="H1096" s="1" t="str">
        <f>IF(tblFLOWOD[[#This Row],[nama_asal]]=tblFLOWOD[[#This Row],[nama_tujuan]],"keluar","isi")</f>
        <v>isi</v>
      </c>
      <c r="I1096" s="1" t="str">
        <f>METADATA_SOURCES!$A$2</f>
        <v>SRC001</v>
      </c>
    </row>
    <row r="1097" spans="1:9" x14ac:dyDescent="0.3">
      <c r="A1097" s="1">
        <v>91</v>
      </c>
      <c r="B1097" s="1" t="s">
        <v>74</v>
      </c>
      <c r="C1097" s="1">
        <v>18</v>
      </c>
      <c r="D1097" s="1" t="s">
        <v>49</v>
      </c>
      <c r="E1097" s="8">
        <v>373</v>
      </c>
      <c r="F1097" s="1" t="s">
        <v>81</v>
      </c>
      <c r="G1097" s="1">
        <v>2020</v>
      </c>
      <c r="H1097" s="1" t="str">
        <f>IF(tblFLOWOD[[#This Row],[nama_asal]]=tblFLOWOD[[#This Row],[nama_tujuan]],"keluar","isi")</f>
        <v>isi</v>
      </c>
      <c r="I1097" s="1" t="str">
        <f>METADATA_SOURCES!$A$2</f>
        <v>SRC001</v>
      </c>
    </row>
    <row r="1098" spans="1:9" x14ac:dyDescent="0.3">
      <c r="A1098" s="1">
        <v>91</v>
      </c>
      <c r="B1098" s="1" t="s">
        <v>74</v>
      </c>
      <c r="C1098" s="1">
        <v>19</v>
      </c>
      <c r="D1098" s="1" t="s">
        <v>50</v>
      </c>
      <c r="E1098" s="8">
        <v>17</v>
      </c>
      <c r="F1098" s="1" t="s">
        <v>81</v>
      </c>
      <c r="G1098" s="1">
        <v>2020</v>
      </c>
      <c r="H1098" s="1" t="str">
        <f>IF(tblFLOWOD[[#This Row],[nama_asal]]=tblFLOWOD[[#This Row],[nama_tujuan]],"keluar","isi")</f>
        <v>isi</v>
      </c>
      <c r="I1098" s="1" t="str">
        <f>METADATA_SOURCES!$A$2</f>
        <v>SRC001</v>
      </c>
    </row>
    <row r="1099" spans="1:9" x14ac:dyDescent="0.3">
      <c r="A1099" s="1">
        <v>91</v>
      </c>
      <c r="B1099" s="1" t="s">
        <v>74</v>
      </c>
      <c r="C1099" s="1">
        <v>21</v>
      </c>
      <c r="D1099" s="1" t="s">
        <v>51</v>
      </c>
      <c r="E1099" s="8">
        <v>83</v>
      </c>
      <c r="F1099" s="1" t="s">
        <v>81</v>
      </c>
      <c r="G1099" s="1">
        <v>2020</v>
      </c>
      <c r="H1099" s="1" t="str">
        <f>IF(tblFLOWOD[[#This Row],[nama_asal]]=tblFLOWOD[[#This Row],[nama_tujuan]],"keluar","isi")</f>
        <v>isi</v>
      </c>
      <c r="I1099" s="1" t="str">
        <f>METADATA_SOURCES!$A$2</f>
        <v>SRC001</v>
      </c>
    </row>
    <row r="1100" spans="1:9" x14ac:dyDescent="0.3">
      <c r="A1100" s="1">
        <v>91</v>
      </c>
      <c r="B1100" s="1" t="s">
        <v>74</v>
      </c>
      <c r="C1100" s="1">
        <v>31</v>
      </c>
      <c r="D1100" s="1" t="s">
        <v>52</v>
      </c>
      <c r="E1100" s="8">
        <v>122</v>
      </c>
      <c r="F1100" s="1" t="s">
        <v>81</v>
      </c>
      <c r="G1100" s="1">
        <v>2020</v>
      </c>
      <c r="H1100" s="1" t="str">
        <f>IF(tblFLOWOD[[#This Row],[nama_asal]]=tblFLOWOD[[#This Row],[nama_tujuan]],"keluar","isi")</f>
        <v>isi</v>
      </c>
      <c r="I1100" s="1" t="str">
        <f>METADATA_SOURCES!$A$2</f>
        <v>SRC001</v>
      </c>
    </row>
    <row r="1101" spans="1:9" x14ac:dyDescent="0.3">
      <c r="A1101" s="1">
        <v>91</v>
      </c>
      <c r="B1101" s="1" t="s">
        <v>74</v>
      </c>
      <c r="C1101" s="1">
        <v>32</v>
      </c>
      <c r="D1101" s="1" t="s">
        <v>53</v>
      </c>
      <c r="E1101" s="8">
        <v>506</v>
      </c>
      <c r="F1101" s="1" t="s">
        <v>81</v>
      </c>
      <c r="G1101" s="1">
        <v>2020</v>
      </c>
      <c r="H1101" s="1" t="str">
        <f>IF(tblFLOWOD[[#This Row],[nama_asal]]=tblFLOWOD[[#This Row],[nama_tujuan]],"keluar","isi")</f>
        <v>isi</v>
      </c>
      <c r="I1101" s="1" t="str">
        <f>METADATA_SOURCES!$A$2</f>
        <v>SRC001</v>
      </c>
    </row>
    <row r="1102" spans="1:9" x14ac:dyDescent="0.3">
      <c r="A1102" s="1">
        <v>91</v>
      </c>
      <c r="B1102" s="1" t="s">
        <v>74</v>
      </c>
      <c r="C1102" s="1">
        <v>33</v>
      </c>
      <c r="D1102" s="1" t="s">
        <v>54</v>
      </c>
      <c r="E1102" s="8">
        <v>2479</v>
      </c>
      <c r="F1102" s="1" t="s">
        <v>81</v>
      </c>
      <c r="G1102" s="1">
        <v>2020</v>
      </c>
      <c r="H1102" s="1" t="str">
        <f>IF(tblFLOWOD[[#This Row],[nama_asal]]=tblFLOWOD[[#This Row],[nama_tujuan]],"keluar","isi")</f>
        <v>isi</v>
      </c>
      <c r="I1102" s="1" t="str">
        <f>METADATA_SOURCES!$A$2</f>
        <v>SRC001</v>
      </c>
    </row>
    <row r="1103" spans="1:9" x14ac:dyDescent="0.3">
      <c r="A1103" s="1">
        <v>91</v>
      </c>
      <c r="B1103" s="1" t="s">
        <v>74</v>
      </c>
      <c r="C1103" s="1">
        <v>34</v>
      </c>
      <c r="D1103" s="1" t="s">
        <v>55</v>
      </c>
      <c r="E1103" s="8">
        <v>537</v>
      </c>
      <c r="F1103" s="1" t="s">
        <v>81</v>
      </c>
      <c r="G1103" s="1">
        <v>2020</v>
      </c>
      <c r="H1103" s="1" t="str">
        <f>IF(tblFLOWOD[[#This Row],[nama_asal]]=tblFLOWOD[[#This Row],[nama_tujuan]],"keluar","isi")</f>
        <v>isi</v>
      </c>
      <c r="I1103" s="1" t="str">
        <f>METADATA_SOURCES!$A$2</f>
        <v>SRC001</v>
      </c>
    </row>
    <row r="1104" spans="1:9" x14ac:dyDescent="0.3">
      <c r="A1104" s="1">
        <v>91</v>
      </c>
      <c r="B1104" s="1" t="s">
        <v>74</v>
      </c>
      <c r="C1104" s="1">
        <v>35</v>
      </c>
      <c r="D1104" s="1" t="s">
        <v>56</v>
      </c>
      <c r="E1104" s="8">
        <v>4010</v>
      </c>
      <c r="F1104" s="1" t="s">
        <v>81</v>
      </c>
      <c r="G1104" s="1">
        <v>2020</v>
      </c>
      <c r="H1104" s="1" t="str">
        <f>IF(tblFLOWOD[[#This Row],[nama_asal]]=tblFLOWOD[[#This Row],[nama_tujuan]],"keluar","isi")</f>
        <v>isi</v>
      </c>
      <c r="I1104" s="1" t="str">
        <f>METADATA_SOURCES!$A$2</f>
        <v>SRC001</v>
      </c>
    </row>
    <row r="1105" spans="1:9" x14ac:dyDescent="0.3">
      <c r="A1105" s="1">
        <v>91</v>
      </c>
      <c r="B1105" s="1" t="s">
        <v>74</v>
      </c>
      <c r="C1105" s="1">
        <v>36</v>
      </c>
      <c r="D1105" s="1" t="s">
        <v>57</v>
      </c>
      <c r="E1105" s="8">
        <v>85</v>
      </c>
      <c r="F1105" s="1" t="s">
        <v>81</v>
      </c>
      <c r="G1105" s="1">
        <v>2020</v>
      </c>
      <c r="H1105" s="1" t="str">
        <f>IF(tblFLOWOD[[#This Row],[nama_asal]]=tblFLOWOD[[#This Row],[nama_tujuan]],"keluar","isi")</f>
        <v>isi</v>
      </c>
      <c r="I1105" s="1" t="str">
        <f>METADATA_SOURCES!$A$2</f>
        <v>SRC001</v>
      </c>
    </row>
    <row r="1106" spans="1:9" x14ac:dyDescent="0.3">
      <c r="A1106" s="1">
        <v>91</v>
      </c>
      <c r="B1106" s="1" t="s">
        <v>74</v>
      </c>
      <c r="C1106" s="1">
        <v>51</v>
      </c>
      <c r="D1106" s="1" t="s">
        <v>58</v>
      </c>
      <c r="E1106" s="8">
        <v>108</v>
      </c>
      <c r="F1106" s="1" t="s">
        <v>81</v>
      </c>
      <c r="G1106" s="1">
        <v>2020</v>
      </c>
      <c r="H1106" s="1" t="str">
        <f>IF(tblFLOWOD[[#This Row],[nama_asal]]=tblFLOWOD[[#This Row],[nama_tujuan]],"keluar","isi")</f>
        <v>isi</v>
      </c>
      <c r="I1106" s="1" t="str">
        <f>METADATA_SOURCES!$A$2</f>
        <v>SRC001</v>
      </c>
    </row>
    <row r="1107" spans="1:9" x14ac:dyDescent="0.3">
      <c r="A1107" s="1">
        <v>91</v>
      </c>
      <c r="B1107" s="1" t="s">
        <v>74</v>
      </c>
      <c r="C1107" s="1">
        <v>52</v>
      </c>
      <c r="D1107" s="1" t="s">
        <v>59</v>
      </c>
      <c r="E1107" s="8">
        <v>355</v>
      </c>
      <c r="F1107" s="1" t="s">
        <v>81</v>
      </c>
      <c r="G1107" s="1">
        <v>2020</v>
      </c>
      <c r="H1107" s="1" t="str">
        <f>IF(tblFLOWOD[[#This Row],[nama_asal]]=tblFLOWOD[[#This Row],[nama_tujuan]],"keluar","isi")</f>
        <v>isi</v>
      </c>
      <c r="I1107" s="1" t="str">
        <f>METADATA_SOURCES!$A$2</f>
        <v>SRC001</v>
      </c>
    </row>
    <row r="1108" spans="1:9" x14ac:dyDescent="0.3">
      <c r="A1108" s="1">
        <v>91</v>
      </c>
      <c r="B1108" s="1" t="s">
        <v>74</v>
      </c>
      <c r="C1108" s="1">
        <v>53</v>
      </c>
      <c r="D1108" s="1" t="s">
        <v>60</v>
      </c>
      <c r="E1108" s="8">
        <v>2010</v>
      </c>
      <c r="F1108" s="1" t="s">
        <v>81</v>
      </c>
      <c r="G1108" s="1">
        <v>2020</v>
      </c>
      <c r="H1108" s="1" t="str">
        <f>IF(tblFLOWOD[[#This Row],[nama_asal]]=tblFLOWOD[[#This Row],[nama_tujuan]],"keluar","isi")</f>
        <v>isi</v>
      </c>
      <c r="I1108" s="1" t="str">
        <f>METADATA_SOURCES!$A$2</f>
        <v>SRC001</v>
      </c>
    </row>
    <row r="1109" spans="1:9" x14ac:dyDescent="0.3">
      <c r="A1109" s="1">
        <v>91</v>
      </c>
      <c r="B1109" s="1" t="s">
        <v>74</v>
      </c>
      <c r="C1109" s="1">
        <v>61</v>
      </c>
      <c r="D1109" s="1" t="s">
        <v>61</v>
      </c>
      <c r="E1109" s="8">
        <v>52</v>
      </c>
      <c r="F1109" s="1" t="s">
        <v>81</v>
      </c>
      <c r="G1109" s="1">
        <v>2020</v>
      </c>
      <c r="H1109" s="1" t="str">
        <f>IF(tblFLOWOD[[#This Row],[nama_asal]]=tblFLOWOD[[#This Row],[nama_tujuan]],"keluar","isi")</f>
        <v>isi</v>
      </c>
      <c r="I1109" s="1" t="str">
        <f>METADATA_SOURCES!$A$2</f>
        <v>SRC001</v>
      </c>
    </row>
    <row r="1110" spans="1:9" x14ac:dyDescent="0.3">
      <c r="A1110" s="1">
        <v>91</v>
      </c>
      <c r="B1110" s="1" t="s">
        <v>74</v>
      </c>
      <c r="C1110" s="1">
        <v>62</v>
      </c>
      <c r="D1110" s="1" t="s">
        <v>62</v>
      </c>
      <c r="E1110" s="8">
        <v>33</v>
      </c>
      <c r="F1110" s="1" t="s">
        <v>81</v>
      </c>
      <c r="G1110" s="1">
        <v>2020</v>
      </c>
      <c r="H1110" s="1" t="str">
        <f>IF(tblFLOWOD[[#This Row],[nama_asal]]=tblFLOWOD[[#This Row],[nama_tujuan]],"keluar","isi")</f>
        <v>isi</v>
      </c>
      <c r="I1110" s="1" t="str">
        <f>METADATA_SOURCES!$A$2</f>
        <v>SRC001</v>
      </c>
    </row>
    <row r="1111" spans="1:9" x14ac:dyDescent="0.3">
      <c r="A1111" s="1">
        <v>91</v>
      </c>
      <c r="B1111" s="1" t="s">
        <v>74</v>
      </c>
      <c r="C1111" s="1">
        <v>63</v>
      </c>
      <c r="D1111" s="1" t="s">
        <v>63</v>
      </c>
      <c r="E1111" s="8">
        <v>152</v>
      </c>
      <c r="F1111" s="1" t="s">
        <v>81</v>
      </c>
      <c r="G1111" s="1">
        <v>2020</v>
      </c>
      <c r="H1111" s="1" t="str">
        <f>IF(tblFLOWOD[[#This Row],[nama_asal]]=tblFLOWOD[[#This Row],[nama_tujuan]],"keluar","isi")</f>
        <v>isi</v>
      </c>
      <c r="I1111" s="1" t="str">
        <f>METADATA_SOURCES!$A$2</f>
        <v>SRC001</v>
      </c>
    </row>
    <row r="1112" spans="1:9" x14ac:dyDescent="0.3">
      <c r="A1112" s="1">
        <v>91</v>
      </c>
      <c r="B1112" s="1" t="s">
        <v>74</v>
      </c>
      <c r="C1112" s="1">
        <v>64</v>
      </c>
      <c r="D1112" s="1" t="s">
        <v>64</v>
      </c>
      <c r="E1112" s="8">
        <v>92</v>
      </c>
      <c r="F1112" s="1" t="s">
        <v>81</v>
      </c>
      <c r="G1112" s="1">
        <v>2020</v>
      </c>
      <c r="H1112" s="1" t="str">
        <f>IF(tblFLOWOD[[#This Row],[nama_asal]]=tblFLOWOD[[#This Row],[nama_tujuan]],"keluar","isi")</f>
        <v>isi</v>
      </c>
      <c r="I1112" s="1" t="str">
        <f>METADATA_SOURCES!$A$2</f>
        <v>SRC001</v>
      </c>
    </row>
    <row r="1113" spans="1:9" x14ac:dyDescent="0.3">
      <c r="A1113" s="1">
        <v>91</v>
      </c>
      <c r="B1113" s="1" t="s">
        <v>74</v>
      </c>
      <c r="C1113" s="1">
        <v>65</v>
      </c>
      <c r="D1113" s="1" t="s">
        <v>65</v>
      </c>
      <c r="E1113" s="8">
        <v>52</v>
      </c>
      <c r="F1113" s="1" t="s">
        <v>81</v>
      </c>
      <c r="G1113" s="1">
        <v>2020</v>
      </c>
      <c r="H1113" s="1" t="str">
        <f>IF(tblFLOWOD[[#This Row],[nama_asal]]=tblFLOWOD[[#This Row],[nama_tujuan]],"keluar","isi")</f>
        <v>isi</v>
      </c>
      <c r="I1113" s="1" t="str">
        <f>METADATA_SOURCES!$A$2</f>
        <v>SRC001</v>
      </c>
    </row>
    <row r="1114" spans="1:9" x14ac:dyDescent="0.3">
      <c r="A1114" s="1">
        <v>91</v>
      </c>
      <c r="B1114" s="1" t="s">
        <v>74</v>
      </c>
      <c r="C1114" s="1">
        <v>71</v>
      </c>
      <c r="D1114" s="1" t="s">
        <v>66</v>
      </c>
      <c r="E1114" s="8">
        <v>1554</v>
      </c>
      <c r="F1114" s="1" t="s">
        <v>81</v>
      </c>
      <c r="G1114" s="1">
        <v>2020</v>
      </c>
      <c r="H1114" s="1" t="str">
        <f>IF(tblFLOWOD[[#This Row],[nama_asal]]=tblFLOWOD[[#This Row],[nama_tujuan]],"keluar","isi")</f>
        <v>isi</v>
      </c>
      <c r="I1114" s="1" t="str">
        <f>METADATA_SOURCES!$A$2</f>
        <v>SRC001</v>
      </c>
    </row>
    <row r="1115" spans="1:9" x14ac:dyDescent="0.3">
      <c r="A1115" s="1">
        <v>91</v>
      </c>
      <c r="B1115" s="1" t="s">
        <v>74</v>
      </c>
      <c r="C1115" s="1">
        <v>72</v>
      </c>
      <c r="D1115" s="1" t="s">
        <v>67</v>
      </c>
      <c r="E1115" s="8">
        <v>243</v>
      </c>
      <c r="F1115" s="1" t="s">
        <v>81</v>
      </c>
      <c r="G1115" s="1">
        <v>2020</v>
      </c>
      <c r="H1115" s="1" t="str">
        <f>IF(tblFLOWOD[[#This Row],[nama_asal]]=tblFLOWOD[[#This Row],[nama_tujuan]],"keluar","isi")</f>
        <v>isi</v>
      </c>
      <c r="I1115" s="1" t="str">
        <f>METADATA_SOURCES!$A$2</f>
        <v>SRC001</v>
      </c>
    </row>
    <row r="1116" spans="1:9" x14ac:dyDescent="0.3">
      <c r="A1116" s="1">
        <v>91</v>
      </c>
      <c r="B1116" s="1" t="s">
        <v>74</v>
      </c>
      <c r="C1116" s="1">
        <v>73</v>
      </c>
      <c r="D1116" s="1" t="s">
        <v>68</v>
      </c>
      <c r="E1116" s="8">
        <v>4800</v>
      </c>
      <c r="F1116" s="1" t="s">
        <v>81</v>
      </c>
      <c r="G1116" s="1">
        <v>2020</v>
      </c>
      <c r="H1116" s="1" t="str">
        <f>IF(tblFLOWOD[[#This Row],[nama_asal]]=tblFLOWOD[[#This Row],[nama_tujuan]],"keluar","isi")</f>
        <v>isi</v>
      </c>
      <c r="I1116" s="1" t="str">
        <f>METADATA_SOURCES!$A$2</f>
        <v>SRC001</v>
      </c>
    </row>
    <row r="1117" spans="1:9" x14ac:dyDescent="0.3">
      <c r="A1117" s="1">
        <v>91</v>
      </c>
      <c r="B1117" s="1" t="s">
        <v>74</v>
      </c>
      <c r="C1117" s="1">
        <v>74</v>
      </c>
      <c r="D1117" s="1" t="s">
        <v>69</v>
      </c>
      <c r="E1117" s="8">
        <v>6549</v>
      </c>
      <c r="F1117" s="1" t="s">
        <v>81</v>
      </c>
      <c r="G1117" s="1">
        <v>2020</v>
      </c>
      <c r="H1117" s="1" t="str">
        <f>IF(tblFLOWOD[[#This Row],[nama_asal]]=tblFLOWOD[[#This Row],[nama_tujuan]],"keluar","isi")</f>
        <v>isi</v>
      </c>
      <c r="I1117" s="1" t="str">
        <f>METADATA_SOURCES!$A$2</f>
        <v>SRC001</v>
      </c>
    </row>
    <row r="1118" spans="1:9" x14ac:dyDescent="0.3">
      <c r="A1118" s="1">
        <v>91</v>
      </c>
      <c r="B1118" s="1" t="s">
        <v>74</v>
      </c>
      <c r="C1118" s="1">
        <v>75</v>
      </c>
      <c r="D1118" s="1" t="s">
        <v>70</v>
      </c>
      <c r="E1118" s="8">
        <v>83</v>
      </c>
      <c r="F1118" s="1" t="s">
        <v>81</v>
      </c>
      <c r="G1118" s="1">
        <v>2020</v>
      </c>
      <c r="H1118" s="1" t="str">
        <f>IF(tblFLOWOD[[#This Row],[nama_asal]]=tblFLOWOD[[#This Row],[nama_tujuan]],"keluar","isi")</f>
        <v>isi</v>
      </c>
      <c r="I1118" s="1" t="str">
        <f>METADATA_SOURCES!$A$2</f>
        <v>SRC001</v>
      </c>
    </row>
    <row r="1119" spans="1:9" x14ac:dyDescent="0.3">
      <c r="A1119" s="1">
        <v>91</v>
      </c>
      <c r="B1119" s="1" t="s">
        <v>74</v>
      </c>
      <c r="C1119" s="1">
        <v>76</v>
      </c>
      <c r="D1119" s="1" t="s">
        <v>71</v>
      </c>
      <c r="E1119" s="8">
        <v>129</v>
      </c>
      <c r="F1119" s="1" t="s">
        <v>81</v>
      </c>
      <c r="G1119" s="1">
        <v>2020</v>
      </c>
      <c r="H1119" s="1" t="str">
        <f>IF(tblFLOWOD[[#This Row],[nama_asal]]=tblFLOWOD[[#This Row],[nama_tujuan]],"keluar","isi")</f>
        <v>isi</v>
      </c>
      <c r="I1119" s="1" t="str">
        <f>METADATA_SOURCES!$A$2</f>
        <v>SRC001</v>
      </c>
    </row>
    <row r="1120" spans="1:9" x14ac:dyDescent="0.3">
      <c r="A1120" s="1">
        <v>91</v>
      </c>
      <c r="B1120" s="1" t="s">
        <v>74</v>
      </c>
      <c r="C1120" s="1">
        <v>81</v>
      </c>
      <c r="D1120" s="1" t="s">
        <v>72</v>
      </c>
      <c r="E1120" s="8">
        <v>3222</v>
      </c>
      <c r="F1120" s="1" t="s">
        <v>81</v>
      </c>
      <c r="G1120" s="1">
        <v>2020</v>
      </c>
      <c r="H1120" s="1" t="str">
        <f>IF(tblFLOWOD[[#This Row],[nama_asal]]=tblFLOWOD[[#This Row],[nama_tujuan]],"keluar","isi")</f>
        <v>isi</v>
      </c>
      <c r="I1120" s="1" t="str">
        <f>METADATA_SOURCES!$A$2</f>
        <v>SRC001</v>
      </c>
    </row>
    <row r="1121" spans="1:9" x14ac:dyDescent="0.3">
      <c r="A1121" s="1">
        <v>91</v>
      </c>
      <c r="B1121" s="1" t="s">
        <v>74</v>
      </c>
      <c r="C1121" s="1">
        <v>82</v>
      </c>
      <c r="D1121" s="1" t="s">
        <v>73</v>
      </c>
      <c r="E1121" s="8">
        <v>922</v>
      </c>
      <c r="F1121" s="1" t="s">
        <v>81</v>
      </c>
      <c r="G1121" s="1">
        <v>2020</v>
      </c>
      <c r="H1121" s="1" t="str">
        <f>IF(tblFLOWOD[[#This Row],[nama_asal]]=tblFLOWOD[[#This Row],[nama_tujuan]],"keluar","isi")</f>
        <v>isi</v>
      </c>
      <c r="I1121" s="1" t="str">
        <f>METADATA_SOURCES!$A$2</f>
        <v>SRC001</v>
      </c>
    </row>
    <row r="1122" spans="1:9" x14ac:dyDescent="0.3">
      <c r="A1122" s="1">
        <v>91</v>
      </c>
      <c r="B1122" s="1" t="s">
        <v>74</v>
      </c>
      <c r="C1122" s="1">
        <v>91</v>
      </c>
      <c r="D1122" s="1" t="s">
        <v>74</v>
      </c>
      <c r="E1122" s="8">
        <v>1044522</v>
      </c>
      <c r="F1122" s="1" t="s">
        <v>81</v>
      </c>
      <c r="G1122" s="1">
        <v>2020</v>
      </c>
      <c r="H1122" s="1" t="str">
        <f>IF(tblFLOWOD[[#This Row],[nama_asal]]=tblFLOWOD[[#This Row],[nama_tujuan]],"keluar","isi")</f>
        <v>keluar</v>
      </c>
      <c r="I1122" s="1" t="str">
        <f>METADATA_SOURCES!$A$2</f>
        <v>SRC001</v>
      </c>
    </row>
    <row r="1123" spans="1:9" x14ac:dyDescent="0.3">
      <c r="A1123" s="1">
        <v>91</v>
      </c>
      <c r="B1123" s="1" t="s">
        <v>74</v>
      </c>
      <c r="C1123" s="1">
        <v>94</v>
      </c>
      <c r="D1123" s="1" t="s">
        <v>75</v>
      </c>
      <c r="E1123" s="8">
        <v>2386</v>
      </c>
      <c r="F1123" s="1" t="s">
        <v>81</v>
      </c>
      <c r="G1123" s="1">
        <v>2020</v>
      </c>
      <c r="H1123" s="1" t="str">
        <f>IF(tblFLOWOD[[#This Row],[nama_asal]]=tblFLOWOD[[#This Row],[nama_tujuan]],"keluar","isi")</f>
        <v>isi</v>
      </c>
      <c r="I1123" s="1" t="str">
        <f>METADATA_SOURCES!$A$2</f>
        <v>SRC001</v>
      </c>
    </row>
    <row r="1124" spans="1:9" x14ac:dyDescent="0.3">
      <c r="A1124" s="1">
        <v>94</v>
      </c>
      <c r="B1124" s="1" t="s">
        <v>75</v>
      </c>
      <c r="C1124" s="1">
        <v>11</v>
      </c>
      <c r="D1124" s="1" t="s">
        <v>42</v>
      </c>
      <c r="E1124" s="8">
        <v>93</v>
      </c>
      <c r="F1124" s="1" t="s">
        <v>81</v>
      </c>
      <c r="G1124" s="1">
        <v>2020</v>
      </c>
      <c r="H1124" s="1" t="str">
        <f>IF(tblFLOWOD[[#This Row],[nama_asal]]=tblFLOWOD[[#This Row],[nama_tujuan]],"keluar","isi")</f>
        <v>isi</v>
      </c>
      <c r="I1124" s="1" t="str">
        <f>METADATA_SOURCES!$A$2</f>
        <v>SRC001</v>
      </c>
    </row>
    <row r="1125" spans="1:9" x14ac:dyDescent="0.3">
      <c r="A1125" s="1">
        <v>94</v>
      </c>
      <c r="B1125" s="1" t="s">
        <v>75</v>
      </c>
      <c r="C1125" s="1">
        <v>12</v>
      </c>
      <c r="D1125" s="1" t="s">
        <v>43</v>
      </c>
      <c r="E1125" s="8">
        <v>1574</v>
      </c>
      <c r="F1125" s="1" t="s">
        <v>81</v>
      </c>
      <c r="G1125" s="1">
        <v>2020</v>
      </c>
      <c r="H1125" s="1" t="str">
        <f>IF(tblFLOWOD[[#This Row],[nama_asal]]=tblFLOWOD[[#This Row],[nama_tujuan]],"keluar","isi")</f>
        <v>isi</v>
      </c>
      <c r="I1125" s="1" t="str">
        <f>METADATA_SOURCES!$A$2</f>
        <v>SRC001</v>
      </c>
    </row>
    <row r="1126" spans="1:9" x14ac:dyDescent="0.3">
      <c r="A1126" s="1">
        <v>94</v>
      </c>
      <c r="B1126" s="1" t="s">
        <v>75</v>
      </c>
      <c r="C1126" s="1">
        <v>13</v>
      </c>
      <c r="D1126" s="1" t="s">
        <v>44</v>
      </c>
      <c r="E1126" s="8">
        <v>605</v>
      </c>
      <c r="F1126" s="1" t="s">
        <v>81</v>
      </c>
      <c r="G1126" s="1">
        <v>2020</v>
      </c>
      <c r="H1126" s="1" t="str">
        <f>IF(tblFLOWOD[[#This Row],[nama_asal]]=tblFLOWOD[[#This Row],[nama_tujuan]],"keluar","isi")</f>
        <v>isi</v>
      </c>
      <c r="I1126" s="1" t="str">
        <f>METADATA_SOURCES!$A$2</f>
        <v>SRC001</v>
      </c>
    </row>
    <row r="1127" spans="1:9" x14ac:dyDescent="0.3">
      <c r="A1127" s="1">
        <v>94</v>
      </c>
      <c r="B1127" s="1" t="s">
        <v>75</v>
      </c>
      <c r="C1127" s="1">
        <v>14</v>
      </c>
      <c r="D1127" s="1" t="s">
        <v>45</v>
      </c>
      <c r="E1127" s="8">
        <v>17</v>
      </c>
      <c r="F1127" s="1" t="s">
        <v>81</v>
      </c>
      <c r="G1127" s="1">
        <v>2020</v>
      </c>
      <c r="H1127" s="1" t="str">
        <f>IF(tblFLOWOD[[#This Row],[nama_asal]]=tblFLOWOD[[#This Row],[nama_tujuan]],"keluar","isi")</f>
        <v>isi</v>
      </c>
      <c r="I1127" s="1" t="str">
        <f>METADATA_SOURCES!$A$2</f>
        <v>SRC001</v>
      </c>
    </row>
    <row r="1128" spans="1:9" x14ac:dyDescent="0.3">
      <c r="A1128" s="1">
        <v>94</v>
      </c>
      <c r="B1128" s="1" t="s">
        <v>75</v>
      </c>
      <c r="C1128" s="1">
        <v>15</v>
      </c>
      <c r="D1128" s="1" t="s">
        <v>46</v>
      </c>
      <c r="E1128" s="8">
        <v>224</v>
      </c>
      <c r="F1128" s="1" t="s">
        <v>81</v>
      </c>
      <c r="G1128" s="1">
        <v>2020</v>
      </c>
      <c r="H1128" s="1" t="str">
        <f>IF(tblFLOWOD[[#This Row],[nama_asal]]=tblFLOWOD[[#This Row],[nama_tujuan]],"keluar","isi")</f>
        <v>isi</v>
      </c>
      <c r="I1128" s="1" t="str">
        <f>METADATA_SOURCES!$A$2</f>
        <v>SRC001</v>
      </c>
    </row>
    <row r="1129" spans="1:9" x14ac:dyDescent="0.3">
      <c r="A1129" s="1">
        <v>94</v>
      </c>
      <c r="B1129" s="1" t="s">
        <v>75</v>
      </c>
      <c r="C1129" s="1">
        <v>16</v>
      </c>
      <c r="D1129" s="1" t="s">
        <v>47</v>
      </c>
      <c r="E1129" s="8">
        <v>248</v>
      </c>
      <c r="F1129" s="1" t="s">
        <v>81</v>
      </c>
      <c r="G1129" s="1">
        <v>2020</v>
      </c>
      <c r="H1129" s="1" t="str">
        <f>IF(tblFLOWOD[[#This Row],[nama_asal]]=tblFLOWOD[[#This Row],[nama_tujuan]],"keluar","isi")</f>
        <v>isi</v>
      </c>
      <c r="I1129" s="1" t="str">
        <f>METADATA_SOURCES!$A$2</f>
        <v>SRC001</v>
      </c>
    </row>
    <row r="1130" spans="1:9" x14ac:dyDescent="0.3">
      <c r="A1130" s="1">
        <v>94</v>
      </c>
      <c r="B1130" s="1" t="s">
        <v>75</v>
      </c>
      <c r="C1130" s="1">
        <v>17</v>
      </c>
      <c r="D1130" s="1" t="s">
        <v>48</v>
      </c>
      <c r="E1130" s="8">
        <v>182</v>
      </c>
      <c r="F1130" s="1" t="s">
        <v>81</v>
      </c>
      <c r="G1130" s="1">
        <v>2020</v>
      </c>
      <c r="H1130" s="1" t="str">
        <f>IF(tblFLOWOD[[#This Row],[nama_asal]]=tblFLOWOD[[#This Row],[nama_tujuan]],"keluar","isi")</f>
        <v>isi</v>
      </c>
      <c r="I1130" s="1" t="str">
        <f>METADATA_SOURCES!$A$2</f>
        <v>SRC001</v>
      </c>
    </row>
    <row r="1131" spans="1:9" x14ac:dyDescent="0.3">
      <c r="A1131" s="1">
        <v>94</v>
      </c>
      <c r="B1131" s="1" t="s">
        <v>75</v>
      </c>
      <c r="C1131" s="1">
        <v>18</v>
      </c>
      <c r="D1131" s="1" t="s">
        <v>49</v>
      </c>
      <c r="E1131" s="8">
        <v>401</v>
      </c>
      <c r="F1131" s="1" t="s">
        <v>81</v>
      </c>
      <c r="G1131" s="1">
        <v>2020</v>
      </c>
      <c r="H1131" s="1" t="str">
        <f>IF(tblFLOWOD[[#This Row],[nama_asal]]=tblFLOWOD[[#This Row],[nama_tujuan]],"keluar","isi")</f>
        <v>isi</v>
      </c>
      <c r="I1131" s="1" t="str">
        <f>METADATA_SOURCES!$A$2</f>
        <v>SRC001</v>
      </c>
    </row>
    <row r="1132" spans="1:9" x14ac:dyDescent="0.3">
      <c r="A1132" s="1">
        <v>94</v>
      </c>
      <c r="B1132" s="1" t="s">
        <v>75</v>
      </c>
      <c r="C1132" s="1">
        <v>19</v>
      </c>
      <c r="D1132" s="1" t="s">
        <v>50</v>
      </c>
      <c r="E1132" s="8">
        <v>2</v>
      </c>
      <c r="F1132" s="1" t="s">
        <v>81</v>
      </c>
      <c r="G1132" s="1">
        <v>2020</v>
      </c>
      <c r="H1132" s="1" t="str">
        <f>IF(tblFLOWOD[[#This Row],[nama_asal]]=tblFLOWOD[[#This Row],[nama_tujuan]],"keluar","isi")</f>
        <v>isi</v>
      </c>
      <c r="I1132" s="1" t="str">
        <f>METADATA_SOURCES!$A$2</f>
        <v>SRC001</v>
      </c>
    </row>
    <row r="1133" spans="1:9" x14ac:dyDescent="0.3">
      <c r="A1133" s="1">
        <v>94</v>
      </c>
      <c r="B1133" s="1" t="s">
        <v>75</v>
      </c>
      <c r="C1133" s="1">
        <v>21</v>
      </c>
      <c r="D1133" s="1" t="s">
        <v>51</v>
      </c>
      <c r="E1133" s="8">
        <v>42</v>
      </c>
      <c r="F1133" s="1" t="s">
        <v>81</v>
      </c>
      <c r="G1133" s="1">
        <v>2020</v>
      </c>
      <c r="H1133" s="1" t="str">
        <f>IF(tblFLOWOD[[#This Row],[nama_asal]]=tblFLOWOD[[#This Row],[nama_tujuan]],"keluar","isi")</f>
        <v>isi</v>
      </c>
      <c r="I1133" s="1" t="str">
        <f>METADATA_SOURCES!$A$2</f>
        <v>SRC001</v>
      </c>
    </row>
    <row r="1134" spans="1:9" x14ac:dyDescent="0.3">
      <c r="A1134" s="1">
        <v>94</v>
      </c>
      <c r="B1134" s="1" t="s">
        <v>75</v>
      </c>
      <c r="C1134" s="1">
        <v>31</v>
      </c>
      <c r="D1134" s="1" t="s">
        <v>52</v>
      </c>
      <c r="E1134" s="8">
        <v>862</v>
      </c>
      <c r="F1134" s="1" t="s">
        <v>81</v>
      </c>
      <c r="G1134" s="1">
        <v>2020</v>
      </c>
      <c r="H1134" s="1" t="str">
        <f>IF(tblFLOWOD[[#This Row],[nama_asal]]=tblFLOWOD[[#This Row],[nama_tujuan]],"keluar","isi")</f>
        <v>isi</v>
      </c>
      <c r="I1134" s="1" t="str">
        <f>METADATA_SOURCES!$A$2</f>
        <v>SRC001</v>
      </c>
    </row>
    <row r="1135" spans="1:9" x14ac:dyDescent="0.3">
      <c r="A1135" s="1">
        <v>94</v>
      </c>
      <c r="B1135" s="1" t="s">
        <v>75</v>
      </c>
      <c r="C1135" s="1">
        <v>32</v>
      </c>
      <c r="D1135" s="1" t="s">
        <v>53</v>
      </c>
      <c r="E1135" s="8">
        <v>1752</v>
      </c>
      <c r="F1135" s="1" t="s">
        <v>81</v>
      </c>
      <c r="G1135" s="1">
        <v>2020</v>
      </c>
      <c r="H1135" s="1" t="str">
        <f>IF(tblFLOWOD[[#This Row],[nama_asal]]=tblFLOWOD[[#This Row],[nama_tujuan]],"keluar","isi")</f>
        <v>isi</v>
      </c>
      <c r="I1135" s="1" t="str">
        <f>METADATA_SOURCES!$A$2</f>
        <v>SRC001</v>
      </c>
    </row>
    <row r="1136" spans="1:9" x14ac:dyDescent="0.3">
      <c r="A1136" s="1">
        <v>94</v>
      </c>
      <c r="B1136" s="1" t="s">
        <v>75</v>
      </c>
      <c r="C1136" s="1">
        <v>33</v>
      </c>
      <c r="D1136" s="1" t="s">
        <v>54</v>
      </c>
      <c r="E1136" s="8">
        <v>5984</v>
      </c>
      <c r="F1136" s="1" t="s">
        <v>81</v>
      </c>
      <c r="G1136" s="1">
        <v>2020</v>
      </c>
      <c r="H1136" s="1" t="str">
        <f>IF(tblFLOWOD[[#This Row],[nama_asal]]=tblFLOWOD[[#This Row],[nama_tujuan]],"keluar","isi")</f>
        <v>isi</v>
      </c>
      <c r="I1136" s="1" t="str">
        <f>METADATA_SOURCES!$A$2</f>
        <v>SRC001</v>
      </c>
    </row>
    <row r="1137" spans="1:9" x14ac:dyDescent="0.3">
      <c r="A1137" s="1">
        <v>94</v>
      </c>
      <c r="B1137" s="1" t="s">
        <v>75</v>
      </c>
      <c r="C1137" s="1">
        <v>34</v>
      </c>
      <c r="D1137" s="1" t="s">
        <v>55</v>
      </c>
      <c r="E1137" s="8">
        <v>2427</v>
      </c>
      <c r="F1137" s="1" t="s">
        <v>81</v>
      </c>
      <c r="G1137" s="1">
        <v>2020</v>
      </c>
      <c r="H1137" s="1" t="str">
        <f>IF(tblFLOWOD[[#This Row],[nama_asal]]=tblFLOWOD[[#This Row],[nama_tujuan]],"keluar","isi")</f>
        <v>isi</v>
      </c>
      <c r="I1137" s="1" t="str">
        <f>METADATA_SOURCES!$A$2</f>
        <v>SRC001</v>
      </c>
    </row>
    <row r="1138" spans="1:9" x14ac:dyDescent="0.3">
      <c r="A1138" s="1">
        <v>94</v>
      </c>
      <c r="B1138" s="1" t="s">
        <v>75</v>
      </c>
      <c r="C1138" s="1">
        <v>35</v>
      </c>
      <c r="D1138" s="1" t="s">
        <v>56</v>
      </c>
      <c r="E1138" s="8">
        <v>7956</v>
      </c>
      <c r="F1138" s="1" t="s">
        <v>81</v>
      </c>
      <c r="G1138" s="1">
        <v>2020</v>
      </c>
      <c r="H1138" s="1" t="str">
        <f>IF(tblFLOWOD[[#This Row],[nama_asal]]=tblFLOWOD[[#This Row],[nama_tujuan]],"keluar","isi")</f>
        <v>isi</v>
      </c>
      <c r="I1138" s="1" t="str">
        <f>METADATA_SOURCES!$A$2</f>
        <v>SRC001</v>
      </c>
    </row>
    <row r="1139" spans="1:9" x14ac:dyDescent="0.3">
      <c r="A1139" s="1">
        <v>94</v>
      </c>
      <c r="B1139" s="1" t="s">
        <v>75</v>
      </c>
      <c r="C1139" s="1">
        <v>36</v>
      </c>
      <c r="D1139" s="1" t="s">
        <v>57</v>
      </c>
      <c r="E1139" s="8">
        <v>112</v>
      </c>
      <c r="F1139" s="1" t="s">
        <v>81</v>
      </c>
      <c r="G1139" s="1">
        <v>2020</v>
      </c>
      <c r="H1139" s="1" t="str">
        <f>IF(tblFLOWOD[[#This Row],[nama_asal]]=tblFLOWOD[[#This Row],[nama_tujuan]],"keluar","isi")</f>
        <v>isi</v>
      </c>
      <c r="I1139" s="1" t="str">
        <f>METADATA_SOURCES!$A$2</f>
        <v>SRC001</v>
      </c>
    </row>
    <row r="1140" spans="1:9" x14ac:dyDescent="0.3">
      <c r="A1140" s="1">
        <v>94</v>
      </c>
      <c r="B1140" s="1" t="s">
        <v>75</v>
      </c>
      <c r="C1140" s="1">
        <v>51</v>
      </c>
      <c r="D1140" s="1" t="s">
        <v>58</v>
      </c>
      <c r="E1140" s="8">
        <v>245</v>
      </c>
      <c r="F1140" s="1" t="s">
        <v>81</v>
      </c>
      <c r="G1140" s="1">
        <v>2020</v>
      </c>
      <c r="H1140" s="1" t="str">
        <f>IF(tblFLOWOD[[#This Row],[nama_asal]]=tblFLOWOD[[#This Row],[nama_tujuan]],"keluar","isi")</f>
        <v>isi</v>
      </c>
      <c r="I1140" s="1" t="str">
        <f>METADATA_SOURCES!$A$2</f>
        <v>SRC001</v>
      </c>
    </row>
    <row r="1141" spans="1:9" x14ac:dyDescent="0.3">
      <c r="A1141" s="1">
        <v>94</v>
      </c>
      <c r="B1141" s="1" t="s">
        <v>75</v>
      </c>
      <c r="C1141" s="1">
        <v>52</v>
      </c>
      <c r="D1141" s="1" t="s">
        <v>59</v>
      </c>
      <c r="E1141" s="8">
        <v>2067</v>
      </c>
      <c r="F1141" s="1" t="s">
        <v>81</v>
      </c>
      <c r="G1141" s="1">
        <v>2020</v>
      </c>
      <c r="H1141" s="1" t="str">
        <f>IF(tblFLOWOD[[#This Row],[nama_asal]]=tblFLOWOD[[#This Row],[nama_tujuan]],"keluar","isi")</f>
        <v>isi</v>
      </c>
      <c r="I1141" s="1" t="str">
        <f>METADATA_SOURCES!$A$2</f>
        <v>SRC001</v>
      </c>
    </row>
    <row r="1142" spans="1:9" x14ac:dyDescent="0.3">
      <c r="A1142" s="1">
        <v>94</v>
      </c>
      <c r="B1142" s="1" t="s">
        <v>75</v>
      </c>
      <c r="C1142" s="1">
        <v>53</v>
      </c>
      <c r="D1142" s="1" t="s">
        <v>60</v>
      </c>
      <c r="E1142" s="8">
        <v>5311</v>
      </c>
      <c r="F1142" s="1" t="s">
        <v>81</v>
      </c>
      <c r="G1142" s="1">
        <v>2020</v>
      </c>
      <c r="H1142" s="1" t="str">
        <f>IF(tblFLOWOD[[#This Row],[nama_asal]]=tblFLOWOD[[#This Row],[nama_tujuan]],"keluar","isi")</f>
        <v>isi</v>
      </c>
      <c r="I1142" s="1" t="str">
        <f>METADATA_SOURCES!$A$2</f>
        <v>SRC001</v>
      </c>
    </row>
    <row r="1143" spans="1:9" x14ac:dyDescent="0.3">
      <c r="A1143" s="1">
        <v>94</v>
      </c>
      <c r="B1143" s="1" t="s">
        <v>75</v>
      </c>
      <c r="C1143" s="1">
        <v>61</v>
      </c>
      <c r="D1143" s="1" t="s">
        <v>61</v>
      </c>
      <c r="E1143" s="8">
        <v>190</v>
      </c>
      <c r="F1143" s="1" t="s">
        <v>81</v>
      </c>
      <c r="G1143" s="1">
        <v>2020</v>
      </c>
      <c r="H1143" s="1" t="str">
        <f>IF(tblFLOWOD[[#This Row],[nama_asal]]=tblFLOWOD[[#This Row],[nama_tujuan]],"keluar","isi")</f>
        <v>isi</v>
      </c>
      <c r="I1143" s="1" t="str">
        <f>METADATA_SOURCES!$A$2</f>
        <v>SRC001</v>
      </c>
    </row>
    <row r="1144" spans="1:9" x14ac:dyDescent="0.3">
      <c r="A1144" s="1">
        <v>94</v>
      </c>
      <c r="B1144" s="1" t="s">
        <v>75</v>
      </c>
      <c r="C1144" s="1">
        <v>62</v>
      </c>
      <c r="D1144" s="1" t="s">
        <v>62</v>
      </c>
      <c r="E1144" s="8">
        <v>181</v>
      </c>
      <c r="F1144" s="1" t="s">
        <v>81</v>
      </c>
      <c r="G1144" s="1">
        <v>2020</v>
      </c>
      <c r="H1144" s="1" t="str">
        <f>IF(tblFLOWOD[[#This Row],[nama_asal]]=tblFLOWOD[[#This Row],[nama_tujuan]],"keluar","isi")</f>
        <v>isi</v>
      </c>
      <c r="I1144" s="1" t="str">
        <f>METADATA_SOURCES!$A$2</f>
        <v>SRC001</v>
      </c>
    </row>
    <row r="1145" spans="1:9" x14ac:dyDescent="0.3">
      <c r="A1145" s="1">
        <v>94</v>
      </c>
      <c r="B1145" s="1" t="s">
        <v>75</v>
      </c>
      <c r="C1145" s="1">
        <v>63</v>
      </c>
      <c r="D1145" s="1" t="s">
        <v>63</v>
      </c>
      <c r="E1145" s="8">
        <v>218</v>
      </c>
      <c r="F1145" s="1" t="s">
        <v>81</v>
      </c>
      <c r="G1145" s="1">
        <v>2020</v>
      </c>
      <c r="H1145" s="1" t="str">
        <f>IF(tblFLOWOD[[#This Row],[nama_asal]]=tblFLOWOD[[#This Row],[nama_tujuan]],"keluar","isi")</f>
        <v>isi</v>
      </c>
      <c r="I1145" s="1" t="str">
        <f>METADATA_SOURCES!$A$2</f>
        <v>SRC001</v>
      </c>
    </row>
    <row r="1146" spans="1:9" x14ac:dyDescent="0.3">
      <c r="A1146" s="1">
        <v>94</v>
      </c>
      <c r="B1146" s="1" t="s">
        <v>75</v>
      </c>
      <c r="C1146" s="1">
        <v>64</v>
      </c>
      <c r="D1146" s="1" t="s">
        <v>64</v>
      </c>
      <c r="E1146" s="8">
        <v>378</v>
      </c>
      <c r="F1146" s="1" t="s">
        <v>81</v>
      </c>
      <c r="G1146" s="1">
        <v>2020</v>
      </c>
      <c r="H1146" s="1" t="str">
        <f>IF(tblFLOWOD[[#This Row],[nama_asal]]=tblFLOWOD[[#This Row],[nama_tujuan]],"keluar","isi")</f>
        <v>isi</v>
      </c>
      <c r="I1146" s="1" t="str">
        <f>METADATA_SOURCES!$A$2</f>
        <v>SRC001</v>
      </c>
    </row>
    <row r="1147" spans="1:9" x14ac:dyDescent="0.3">
      <c r="A1147" s="1">
        <v>94</v>
      </c>
      <c r="B1147" s="1" t="s">
        <v>75</v>
      </c>
      <c r="C1147" s="1">
        <v>65</v>
      </c>
      <c r="D1147" s="1" t="s">
        <v>65</v>
      </c>
      <c r="E1147" s="8">
        <v>130</v>
      </c>
      <c r="F1147" s="1" t="s">
        <v>81</v>
      </c>
      <c r="G1147" s="1">
        <v>2020</v>
      </c>
      <c r="H1147" s="1" t="str">
        <f>IF(tblFLOWOD[[#This Row],[nama_asal]]=tblFLOWOD[[#This Row],[nama_tujuan]],"keluar","isi")</f>
        <v>isi</v>
      </c>
      <c r="I1147" s="1" t="str">
        <f>METADATA_SOURCES!$A$2</f>
        <v>SRC001</v>
      </c>
    </row>
    <row r="1148" spans="1:9" x14ac:dyDescent="0.3">
      <c r="A1148" s="1">
        <v>94</v>
      </c>
      <c r="B1148" s="1" t="s">
        <v>75</v>
      </c>
      <c r="C1148" s="1">
        <v>71</v>
      </c>
      <c r="D1148" s="1" t="s">
        <v>66</v>
      </c>
      <c r="E1148" s="8">
        <v>2904</v>
      </c>
      <c r="F1148" s="1" t="s">
        <v>81</v>
      </c>
      <c r="G1148" s="1">
        <v>2020</v>
      </c>
      <c r="H1148" s="1" t="str">
        <f>IF(tblFLOWOD[[#This Row],[nama_asal]]=tblFLOWOD[[#This Row],[nama_tujuan]],"keluar","isi")</f>
        <v>isi</v>
      </c>
      <c r="I1148" s="1" t="str">
        <f>METADATA_SOURCES!$A$2</f>
        <v>SRC001</v>
      </c>
    </row>
    <row r="1149" spans="1:9" x14ac:dyDescent="0.3">
      <c r="A1149" s="1">
        <v>94</v>
      </c>
      <c r="B1149" s="1" t="s">
        <v>75</v>
      </c>
      <c r="C1149" s="1">
        <v>72</v>
      </c>
      <c r="D1149" s="1" t="s">
        <v>67</v>
      </c>
      <c r="E1149" s="8">
        <v>653</v>
      </c>
      <c r="F1149" s="1" t="s">
        <v>81</v>
      </c>
      <c r="G1149" s="1">
        <v>2020</v>
      </c>
      <c r="H1149" s="1" t="str">
        <f>IF(tblFLOWOD[[#This Row],[nama_asal]]=tblFLOWOD[[#This Row],[nama_tujuan]],"keluar","isi")</f>
        <v>isi</v>
      </c>
      <c r="I1149" s="1" t="str">
        <f>METADATA_SOURCES!$A$2</f>
        <v>SRC001</v>
      </c>
    </row>
    <row r="1150" spans="1:9" x14ac:dyDescent="0.3">
      <c r="A1150" s="1">
        <v>94</v>
      </c>
      <c r="B1150" s="1" t="s">
        <v>75</v>
      </c>
      <c r="C1150" s="1">
        <v>73</v>
      </c>
      <c r="D1150" s="1" t="s">
        <v>68</v>
      </c>
      <c r="E1150" s="8">
        <v>15162</v>
      </c>
      <c r="F1150" s="1" t="s">
        <v>81</v>
      </c>
      <c r="G1150" s="1">
        <v>2020</v>
      </c>
      <c r="H1150" s="1" t="str">
        <f>IF(tblFLOWOD[[#This Row],[nama_asal]]=tblFLOWOD[[#This Row],[nama_tujuan]],"keluar","isi")</f>
        <v>isi</v>
      </c>
      <c r="I1150" s="1" t="str">
        <f>METADATA_SOURCES!$A$2</f>
        <v>SRC001</v>
      </c>
    </row>
    <row r="1151" spans="1:9" x14ac:dyDescent="0.3">
      <c r="A1151" s="1">
        <v>94</v>
      </c>
      <c r="B1151" s="1" t="s">
        <v>75</v>
      </c>
      <c r="C1151" s="1">
        <v>74</v>
      </c>
      <c r="D1151" s="1" t="s">
        <v>69</v>
      </c>
      <c r="E1151" s="8">
        <v>7242</v>
      </c>
      <c r="F1151" s="1" t="s">
        <v>81</v>
      </c>
      <c r="G1151" s="1">
        <v>2020</v>
      </c>
      <c r="H1151" s="1" t="str">
        <f>IF(tblFLOWOD[[#This Row],[nama_asal]]=tblFLOWOD[[#This Row],[nama_tujuan]],"keluar","isi")</f>
        <v>isi</v>
      </c>
      <c r="I1151" s="1" t="str">
        <f>METADATA_SOURCES!$A$2</f>
        <v>SRC001</v>
      </c>
    </row>
    <row r="1152" spans="1:9" x14ac:dyDescent="0.3">
      <c r="A1152" s="1">
        <v>94</v>
      </c>
      <c r="B1152" s="1" t="s">
        <v>75</v>
      </c>
      <c r="C1152" s="1">
        <v>75</v>
      </c>
      <c r="D1152" s="1" t="s">
        <v>70</v>
      </c>
      <c r="E1152" s="8">
        <v>370</v>
      </c>
      <c r="F1152" s="1" t="s">
        <v>81</v>
      </c>
      <c r="G1152" s="1">
        <v>2020</v>
      </c>
      <c r="H1152" s="1" t="str">
        <f>IF(tblFLOWOD[[#This Row],[nama_asal]]=tblFLOWOD[[#This Row],[nama_tujuan]],"keluar","isi")</f>
        <v>isi</v>
      </c>
      <c r="I1152" s="1" t="str">
        <f>METADATA_SOURCES!$A$2</f>
        <v>SRC001</v>
      </c>
    </row>
    <row r="1153" spans="1:9" x14ac:dyDescent="0.3">
      <c r="A1153" s="1">
        <v>94</v>
      </c>
      <c r="B1153" s="1" t="s">
        <v>75</v>
      </c>
      <c r="C1153" s="1">
        <v>76</v>
      </c>
      <c r="D1153" s="1" t="s">
        <v>71</v>
      </c>
      <c r="E1153" s="8">
        <v>356</v>
      </c>
      <c r="F1153" s="1" t="s">
        <v>81</v>
      </c>
      <c r="G1153" s="1">
        <v>2020</v>
      </c>
      <c r="H1153" s="1" t="str">
        <f>IF(tblFLOWOD[[#This Row],[nama_asal]]=tblFLOWOD[[#This Row],[nama_tujuan]],"keluar","isi")</f>
        <v>isi</v>
      </c>
      <c r="I1153" s="1" t="str">
        <f>METADATA_SOURCES!$A$2</f>
        <v>SRC001</v>
      </c>
    </row>
    <row r="1154" spans="1:9" x14ac:dyDescent="0.3">
      <c r="A1154" s="1">
        <v>94</v>
      </c>
      <c r="B1154" s="1" t="s">
        <v>75</v>
      </c>
      <c r="C1154" s="1">
        <v>81</v>
      </c>
      <c r="D1154" s="1" t="s">
        <v>72</v>
      </c>
      <c r="E1154" s="8">
        <v>4698</v>
      </c>
      <c r="F1154" s="1" t="s">
        <v>81</v>
      </c>
      <c r="G1154" s="1">
        <v>2020</v>
      </c>
      <c r="H1154" s="1" t="str">
        <f>IF(tblFLOWOD[[#This Row],[nama_asal]]=tblFLOWOD[[#This Row],[nama_tujuan]],"keluar","isi")</f>
        <v>isi</v>
      </c>
      <c r="I1154" s="1" t="str">
        <f>METADATA_SOURCES!$A$2</f>
        <v>SRC001</v>
      </c>
    </row>
    <row r="1155" spans="1:9" x14ac:dyDescent="0.3">
      <c r="A1155" s="1">
        <v>94</v>
      </c>
      <c r="B1155" s="1" t="s">
        <v>75</v>
      </c>
      <c r="C1155" s="1">
        <v>82</v>
      </c>
      <c r="D1155" s="1" t="s">
        <v>73</v>
      </c>
      <c r="E1155" s="8">
        <v>808</v>
      </c>
      <c r="F1155" s="1" t="s">
        <v>81</v>
      </c>
      <c r="G1155" s="1">
        <v>2020</v>
      </c>
      <c r="H1155" s="1" t="str">
        <f>IF(tblFLOWOD[[#This Row],[nama_asal]]=tblFLOWOD[[#This Row],[nama_tujuan]],"keluar","isi")</f>
        <v>isi</v>
      </c>
      <c r="I1155" s="1" t="str">
        <f>METADATA_SOURCES!$A$2</f>
        <v>SRC001</v>
      </c>
    </row>
    <row r="1156" spans="1:9" x14ac:dyDescent="0.3">
      <c r="A1156" s="1">
        <v>94</v>
      </c>
      <c r="B1156" s="1" t="s">
        <v>75</v>
      </c>
      <c r="C1156" s="1">
        <v>91</v>
      </c>
      <c r="D1156" s="1" t="s">
        <v>74</v>
      </c>
      <c r="E1156" s="8">
        <v>5998</v>
      </c>
      <c r="F1156" s="1" t="s">
        <v>81</v>
      </c>
      <c r="G1156" s="1">
        <v>2020</v>
      </c>
      <c r="H1156" s="1" t="str">
        <f>IF(tblFLOWOD[[#This Row],[nama_asal]]=tblFLOWOD[[#This Row],[nama_tujuan]],"keluar","isi")</f>
        <v>isi</v>
      </c>
      <c r="I1156" s="1" t="str">
        <f>METADATA_SOURCES!$A$2</f>
        <v>SRC001</v>
      </c>
    </row>
    <row r="1157" spans="1:9" x14ac:dyDescent="0.3">
      <c r="A1157" s="1">
        <v>94</v>
      </c>
      <c r="B1157" s="1" t="s">
        <v>75</v>
      </c>
      <c r="C1157" s="1">
        <v>94</v>
      </c>
      <c r="D1157" s="1" t="s">
        <v>75</v>
      </c>
      <c r="E1157" s="8">
        <v>3970085</v>
      </c>
      <c r="F1157" s="1" t="s">
        <v>81</v>
      </c>
      <c r="G1157" s="1">
        <v>2020</v>
      </c>
      <c r="H1157" s="1" t="str">
        <f>IF(tblFLOWOD[[#This Row],[nama_asal]]=tblFLOWOD[[#This Row],[nama_tujuan]],"keluar","isi")</f>
        <v>keluar</v>
      </c>
      <c r="I1157" s="1" t="str">
        <f>METADATA_SOURCES!$A$2</f>
        <v>SRC001</v>
      </c>
    </row>
  </sheetData>
  <dataValidations count="1">
    <dataValidation type="list" allowBlank="1" sqref="F2:F1157" xr:uid="{00000000-0002-0000-0300-000000000000}">
      <formula1>"Migrasi Risen,Migrasi Seumur Hidup"</formula1>
    </dataValidation>
  </dataValidations>
  <pageMargins left="0.75" right="0.75" top="1" bottom="1" header="0.5" footer="0.5"/>
  <ignoredErrors>
    <ignoredError sqref="F1107:F1157 F2:F1106" listDataValidation="1"/>
    <ignoredError sqref="H2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5"/>
  <sheetViews>
    <sheetView zoomScale="95" zoomScaleNormal="95" workbookViewId="0">
      <pane ySplit="1" topLeftCell="A2" activePane="bottomLeft" state="frozen"/>
      <selection pane="bottomLeft" sqref="A1:K1"/>
    </sheetView>
  </sheetViews>
  <sheetFormatPr defaultRowHeight="14.4" x14ac:dyDescent="0.3"/>
  <cols>
    <col min="1" max="1" width="15" customWidth="1"/>
    <col min="2" max="2" width="25" customWidth="1"/>
    <col min="3" max="6" width="12" customWidth="1"/>
    <col min="7" max="7" width="24" customWidth="1"/>
    <col min="8" max="8" width="17.21875" customWidth="1"/>
    <col min="9" max="9" width="12" customWidth="1"/>
    <col min="10" max="10" width="22" customWidth="1"/>
    <col min="11" max="11" width="15.109375" customWidth="1"/>
  </cols>
  <sheetData>
    <row r="1" spans="1:11" x14ac:dyDescent="0.3">
      <c r="A1" t="s">
        <v>720</v>
      </c>
      <c r="B1" t="s">
        <v>721</v>
      </c>
      <c r="C1" t="s">
        <v>723</v>
      </c>
      <c r="D1" t="s">
        <v>727</v>
      </c>
      <c r="E1" t="s">
        <v>728</v>
      </c>
      <c r="F1" t="s">
        <v>729</v>
      </c>
      <c r="G1" t="s">
        <v>730</v>
      </c>
      <c r="H1" t="s">
        <v>722</v>
      </c>
      <c r="I1" t="s">
        <v>725</v>
      </c>
      <c r="J1" t="s">
        <v>731</v>
      </c>
      <c r="K1" t="s">
        <v>717</v>
      </c>
    </row>
    <row r="2" spans="1:11" x14ac:dyDescent="0.3">
      <c r="A2" s="1">
        <v>11</v>
      </c>
      <c r="B2" s="1" t="s">
        <v>42</v>
      </c>
      <c r="C2" s="1">
        <v>71.989999999999995</v>
      </c>
      <c r="D2" s="8">
        <v>69.930000000000007</v>
      </c>
      <c r="E2" s="8">
        <v>14.31</v>
      </c>
      <c r="F2" s="8">
        <v>9.33</v>
      </c>
      <c r="G2" s="1">
        <v>9492000</v>
      </c>
      <c r="H2" s="1">
        <v>15.43</v>
      </c>
      <c r="I2" s="8">
        <v>6.59</v>
      </c>
      <c r="J2" s="1">
        <v>91</v>
      </c>
      <c r="K2" s="1" t="str">
        <f>CONCATENATE(METADATA_SOURCES!$A$3,"; ",METADATA_SOURCES!$A$4)</f>
        <v>SRC002; SRC003</v>
      </c>
    </row>
    <row r="3" spans="1:11" x14ac:dyDescent="0.3">
      <c r="A3" s="1">
        <v>12</v>
      </c>
      <c r="B3" s="1" t="s">
        <v>43</v>
      </c>
      <c r="C3" s="1">
        <v>71.77</v>
      </c>
      <c r="D3" s="8">
        <v>69.099999999999994</v>
      </c>
      <c r="E3" s="8">
        <v>13.23</v>
      </c>
      <c r="F3" s="8">
        <v>9.5399999999999991</v>
      </c>
      <c r="G3" s="1">
        <v>10420000</v>
      </c>
      <c r="H3" s="1">
        <v>9.14</v>
      </c>
      <c r="I3" s="8">
        <v>6.91</v>
      </c>
      <c r="J3" s="1">
        <v>203</v>
      </c>
      <c r="K3" s="1" t="str">
        <f>CONCATENATE(METADATA_SOURCES!$A$3,"; ",METADATA_SOURCES!$A$4)</f>
        <v>SRC002; SRC003</v>
      </c>
    </row>
    <row r="4" spans="1:11" x14ac:dyDescent="0.3">
      <c r="A4" s="1">
        <v>13</v>
      </c>
      <c r="B4" s="1" t="s">
        <v>44</v>
      </c>
      <c r="C4" s="1">
        <v>72.38</v>
      </c>
      <c r="D4" s="8">
        <v>69.47</v>
      </c>
      <c r="E4" s="8">
        <v>14.02</v>
      </c>
      <c r="F4" s="8">
        <v>8.99</v>
      </c>
      <c r="G4" s="1">
        <v>10733000</v>
      </c>
      <c r="H4" s="1">
        <v>6.56</v>
      </c>
      <c r="I4" s="8">
        <v>6.88</v>
      </c>
      <c r="J4" s="1">
        <v>132</v>
      </c>
      <c r="K4" s="1" t="str">
        <f>CONCATENATE(METADATA_SOURCES!$A$3,"; ",METADATA_SOURCES!$A$4)</f>
        <v>SRC002; SRC003</v>
      </c>
    </row>
    <row r="5" spans="1:11" x14ac:dyDescent="0.3">
      <c r="A5" s="1">
        <v>14</v>
      </c>
      <c r="B5" s="1" t="s">
        <v>45</v>
      </c>
      <c r="C5" s="1">
        <v>72.709999999999994</v>
      </c>
      <c r="D5" s="8">
        <v>71.599999999999994</v>
      </c>
      <c r="E5" s="8">
        <v>13.2</v>
      </c>
      <c r="F5" s="8">
        <v>9.14</v>
      </c>
      <c r="G5" s="1">
        <v>10675000</v>
      </c>
      <c r="H5" s="1">
        <v>7.04</v>
      </c>
      <c r="I5" s="8">
        <v>6.32</v>
      </c>
      <c r="J5" s="1">
        <v>73</v>
      </c>
      <c r="K5" s="1" t="str">
        <f>CONCATENATE(METADATA_SOURCES!$A$3,"; ",METADATA_SOURCES!$A$4)</f>
        <v>SRC002; SRC003</v>
      </c>
    </row>
    <row r="6" spans="1:11" x14ac:dyDescent="0.3">
      <c r="A6" s="1">
        <v>15</v>
      </c>
      <c r="B6" s="1" t="s">
        <v>46</v>
      </c>
      <c r="C6" s="1">
        <v>71.290000000000006</v>
      </c>
      <c r="D6" s="8">
        <v>71.16</v>
      </c>
      <c r="E6" s="8">
        <v>12.98</v>
      </c>
      <c r="F6" s="8">
        <v>8.5500000000000007</v>
      </c>
      <c r="G6" s="1">
        <v>10392000</v>
      </c>
      <c r="H6" s="1">
        <v>7.97</v>
      </c>
      <c r="I6" s="8">
        <v>5.13</v>
      </c>
      <c r="J6" s="1">
        <v>71</v>
      </c>
      <c r="K6" s="1" t="str">
        <f>CONCATENATE(METADATA_SOURCES!$A$3,"; ",METADATA_SOURCES!$A$4)</f>
        <v>SRC002; SRC003</v>
      </c>
    </row>
    <row r="7" spans="1:11" x14ac:dyDescent="0.3">
      <c r="A7" s="1">
        <v>16</v>
      </c>
      <c r="B7" s="1" t="s">
        <v>47</v>
      </c>
      <c r="C7" s="1">
        <v>70.010000000000005</v>
      </c>
      <c r="D7" s="8">
        <v>69.88</v>
      </c>
      <c r="E7" s="8">
        <v>12.45</v>
      </c>
      <c r="F7" s="8">
        <v>8.24</v>
      </c>
      <c r="G7" s="1">
        <v>10652000</v>
      </c>
      <c r="H7" s="1">
        <v>12.98</v>
      </c>
      <c r="I7" s="8">
        <v>5.51</v>
      </c>
      <c r="J7" s="1">
        <v>92</v>
      </c>
      <c r="K7" s="1" t="str">
        <f>CONCATENATE(METADATA_SOURCES!$A$3,"; ",METADATA_SOURCES!$A$4)</f>
        <v>SRC002; SRC003</v>
      </c>
    </row>
    <row r="8" spans="1:11" x14ac:dyDescent="0.3">
      <c r="A8" s="1">
        <v>17</v>
      </c>
      <c r="B8" s="1" t="s">
        <v>48</v>
      </c>
      <c r="C8" s="1">
        <v>71.400000000000006</v>
      </c>
      <c r="D8" s="8">
        <v>69.349999999999994</v>
      </c>
      <c r="E8" s="8">
        <v>13.61</v>
      </c>
      <c r="F8" s="8">
        <v>8.84</v>
      </c>
      <c r="G8" s="1">
        <v>10380000</v>
      </c>
      <c r="H8" s="1">
        <v>15.3</v>
      </c>
      <c r="I8" s="8">
        <v>4.07</v>
      </c>
      <c r="J8" s="1">
        <v>101</v>
      </c>
      <c r="K8" s="1" t="str">
        <f>CONCATENATE(METADATA_SOURCES!$A$3,"; ",METADATA_SOURCES!$A$4)</f>
        <v>SRC002; SRC003</v>
      </c>
    </row>
    <row r="9" spans="1:11" x14ac:dyDescent="0.3">
      <c r="A9" s="1">
        <v>18</v>
      </c>
      <c r="B9" s="1" t="s">
        <v>49</v>
      </c>
      <c r="C9" s="1">
        <v>69.69</v>
      </c>
      <c r="D9" s="8">
        <v>70.650000000000006</v>
      </c>
      <c r="E9" s="8">
        <v>12.65</v>
      </c>
      <c r="F9" s="8">
        <v>8.0500000000000007</v>
      </c>
      <c r="G9" s="1">
        <v>9982000</v>
      </c>
      <c r="H9" s="1">
        <v>12.76</v>
      </c>
      <c r="I9" s="8">
        <v>4.67</v>
      </c>
      <c r="J9" s="1">
        <v>260</v>
      </c>
      <c r="K9" s="1" t="str">
        <f>CONCATENATE(METADATA_SOURCES!$A$3,"; ",METADATA_SOURCES!$A$4)</f>
        <v>SRC002; SRC003</v>
      </c>
    </row>
    <row r="10" spans="1:11" x14ac:dyDescent="0.3">
      <c r="A10" s="1">
        <v>19</v>
      </c>
      <c r="B10" s="1" t="s">
        <v>50</v>
      </c>
      <c r="C10" s="1">
        <v>71.47</v>
      </c>
      <c r="D10" s="8">
        <v>70.64</v>
      </c>
      <c r="E10" s="8">
        <v>12.05</v>
      </c>
      <c r="F10" s="8">
        <v>8.06</v>
      </c>
      <c r="G10" s="1">
        <v>12794000</v>
      </c>
      <c r="H10" s="1">
        <v>4.8899999999999997</v>
      </c>
      <c r="I10" s="8">
        <v>5.25</v>
      </c>
      <c r="J10" s="1">
        <v>89</v>
      </c>
      <c r="K10" s="1" t="str">
        <f>CONCATENATE(METADATA_SOURCES!$A$3,"; ",METADATA_SOURCES!$A$4)</f>
        <v>SRC002; SRC003</v>
      </c>
    </row>
    <row r="11" spans="1:11" x14ac:dyDescent="0.3">
      <c r="A11" s="1">
        <v>21</v>
      </c>
      <c r="B11" s="1" t="s">
        <v>51</v>
      </c>
      <c r="C11" s="1">
        <v>75.59</v>
      </c>
      <c r="D11" s="8">
        <v>69.959999999999994</v>
      </c>
      <c r="E11" s="8">
        <v>12.87</v>
      </c>
      <c r="F11" s="8">
        <v>10.119999999999999</v>
      </c>
      <c r="G11" s="1">
        <v>14209000</v>
      </c>
      <c r="H11" s="1">
        <v>6.13</v>
      </c>
      <c r="I11" s="8">
        <v>10.34</v>
      </c>
      <c r="J11" s="1">
        <v>252</v>
      </c>
      <c r="K11" s="1" t="str">
        <f>CONCATENATE(METADATA_SOURCES!$A$3,"; ",METADATA_SOURCES!$A$4)</f>
        <v>SRC002; SRC003</v>
      </c>
    </row>
    <row r="12" spans="1:11" x14ac:dyDescent="0.3">
      <c r="A12" s="1">
        <v>31</v>
      </c>
      <c r="B12" s="1" t="s">
        <v>52</v>
      </c>
      <c r="C12" s="1">
        <v>80.77</v>
      </c>
      <c r="D12" s="8">
        <v>72.91</v>
      </c>
      <c r="E12" s="8">
        <v>12.98</v>
      </c>
      <c r="F12" s="8">
        <v>11.13</v>
      </c>
      <c r="G12" s="1">
        <v>18227000</v>
      </c>
      <c r="H12" s="1">
        <v>4.6900000000000004</v>
      </c>
      <c r="I12" s="8">
        <v>10.95</v>
      </c>
      <c r="J12" s="1">
        <v>15907</v>
      </c>
      <c r="K12" s="1" t="str">
        <f>CONCATENATE(METADATA_SOURCES!$A$3,"; ",METADATA_SOURCES!$A$4)</f>
        <v>SRC002; SRC003</v>
      </c>
    </row>
    <row r="13" spans="1:11" x14ac:dyDescent="0.3">
      <c r="A13" s="1">
        <v>32</v>
      </c>
      <c r="B13" s="1" t="s">
        <v>53</v>
      </c>
      <c r="C13" s="1">
        <v>72.09</v>
      </c>
      <c r="D13" s="8">
        <v>73.040000000000006</v>
      </c>
      <c r="E13" s="8">
        <v>12.5</v>
      </c>
      <c r="F13" s="8">
        <v>8.5500000000000007</v>
      </c>
      <c r="G13" s="1">
        <v>10845000</v>
      </c>
      <c r="H13" s="1">
        <v>8.43</v>
      </c>
      <c r="I13" s="8">
        <v>10.46</v>
      </c>
      <c r="J13" s="1">
        <v>1365</v>
      </c>
      <c r="K13" s="1" t="str">
        <f>CONCATENATE(METADATA_SOURCES!$A$3,"; ",METADATA_SOURCES!$A$4)</f>
        <v>SRC002; SRC003</v>
      </c>
    </row>
    <row r="14" spans="1:11" x14ac:dyDescent="0.3">
      <c r="A14" s="1">
        <v>33</v>
      </c>
      <c r="B14" s="1" t="s">
        <v>54</v>
      </c>
      <c r="C14" s="1">
        <v>71.87</v>
      </c>
      <c r="D14" s="8">
        <v>74.37</v>
      </c>
      <c r="E14" s="8">
        <v>12.7</v>
      </c>
      <c r="F14" s="8">
        <v>7.69</v>
      </c>
      <c r="G14" s="1">
        <v>10930000</v>
      </c>
      <c r="H14" s="1">
        <v>11.84</v>
      </c>
      <c r="I14" s="8">
        <v>6.48</v>
      </c>
      <c r="J14" s="1">
        <v>1113</v>
      </c>
      <c r="K14" s="1" t="str">
        <f>CONCATENATE(METADATA_SOURCES!$A$3,"; ",METADATA_SOURCES!$A$4)</f>
        <v>SRC002; SRC003</v>
      </c>
    </row>
    <row r="15" spans="1:11" x14ac:dyDescent="0.3">
      <c r="A15" s="1">
        <v>34</v>
      </c>
      <c r="B15" s="1" t="s">
        <v>55</v>
      </c>
      <c r="C15" s="1">
        <v>79.97</v>
      </c>
      <c r="D15" s="8">
        <v>74.989999999999995</v>
      </c>
      <c r="E15" s="8">
        <v>15.59</v>
      </c>
      <c r="F15" s="8">
        <v>9.5500000000000007</v>
      </c>
      <c r="G15" s="1">
        <v>14015000</v>
      </c>
      <c r="H15" s="1">
        <v>12.8</v>
      </c>
      <c r="I15" s="8">
        <v>4.57</v>
      </c>
      <c r="J15" s="1">
        <v>1171</v>
      </c>
      <c r="K15" s="1" t="str">
        <f>CONCATENATE(METADATA_SOURCES!$A$3,"; ",METADATA_SOURCES!$A$4)</f>
        <v>SRC002; SRC003</v>
      </c>
    </row>
    <row r="16" spans="1:11" x14ac:dyDescent="0.3">
      <c r="A16" s="1">
        <v>35</v>
      </c>
      <c r="B16" s="1" t="s">
        <v>56</v>
      </c>
      <c r="C16" s="1">
        <v>71.709999999999994</v>
      </c>
      <c r="D16" s="8">
        <v>71.3</v>
      </c>
      <c r="E16" s="8">
        <v>13.19</v>
      </c>
      <c r="F16" s="8">
        <v>7.78</v>
      </c>
      <c r="G16" s="1">
        <v>11601000</v>
      </c>
      <c r="H16" s="1">
        <v>11.46</v>
      </c>
      <c r="I16" s="8">
        <v>5.84</v>
      </c>
      <c r="J16" s="1">
        <v>851</v>
      </c>
      <c r="K16" s="1" t="str">
        <f>CONCATENATE(METADATA_SOURCES!$A$3,"; ",METADATA_SOURCES!$A$4)</f>
        <v>SRC002; SRC003</v>
      </c>
    </row>
    <row r="17" spans="1:11" x14ac:dyDescent="0.3">
      <c r="A17" s="1">
        <v>36</v>
      </c>
      <c r="B17" s="1" t="s">
        <v>57</v>
      </c>
      <c r="C17" s="1">
        <v>72.45</v>
      </c>
      <c r="D17" s="8">
        <v>69.959999999999994</v>
      </c>
      <c r="E17" s="8">
        <v>12.89</v>
      </c>
      <c r="F17" s="8">
        <v>8.89</v>
      </c>
      <c r="G17" s="1">
        <v>11964000</v>
      </c>
      <c r="H17" s="1">
        <v>6.63</v>
      </c>
      <c r="I17" s="8">
        <v>10.64</v>
      </c>
      <c r="J17" s="1">
        <v>1232</v>
      </c>
      <c r="K17" s="1" t="str">
        <f>CONCATENATE(METADATA_SOURCES!$A$3,"; ",METADATA_SOURCES!$A$4)</f>
        <v>SRC002; SRC003</v>
      </c>
    </row>
    <row r="18" spans="1:11" x14ac:dyDescent="0.3">
      <c r="A18" s="1">
        <v>51</v>
      </c>
      <c r="B18" s="1" t="s">
        <v>58</v>
      </c>
      <c r="C18" s="1">
        <v>75.5</v>
      </c>
      <c r="D18" s="8">
        <v>72.13</v>
      </c>
      <c r="E18" s="8">
        <v>13.33</v>
      </c>
      <c r="F18" s="8">
        <v>8.9499999999999993</v>
      </c>
      <c r="G18" s="1">
        <v>13929000</v>
      </c>
      <c r="H18" s="1">
        <v>4.45</v>
      </c>
      <c r="I18" s="8">
        <v>5.63</v>
      </c>
      <c r="J18" s="1">
        <v>747</v>
      </c>
      <c r="K18" s="1" t="str">
        <f>CONCATENATE(METADATA_SOURCES!$A$3,"; ",METADATA_SOURCES!$A$4)</f>
        <v>SRC002; SRC003</v>
      </c>
    </row>
    <row r="19" spans="1:11" x14ac:dyDescent="0.3">
      <c r="A19" s="1">
        <v>52</v>
      </c>
      <c r="B19" s="1" t="s">
        <v>59</v>
      </c>
      <c r="C19" s="1">
        <v>68.25</v>
      </c>
      <c r="D19" s="8">
        <v>66.510000000000005</v>
      </c>
      <c r="E19" s="8">
        <v>13.7</v>
      </c>
      <c r="F19" s="8">
        <v>7.31</v>
      </c>
      <c r="G19" s="1">
        <v>10351000</v>
      </c>
      <c r="H19" s="1">
        <v>14.23</v>
      </c>
      <c r="I19" s="8">
        <v>4.22</v>
      </c>
      <c r="J19" s="1">
        <v>286</v>
      </c>
      <c r="K19" s="1" t="str">
        <f>CONCATENATE(METADATA_SOURCES!$A$3,"; ",METADATA_SOURCES!$A$4)</f>
        <v>SRC002; SRC003</v>
      </c>
    </row>
    <row r="20" spans="1:11" x14ac:dyDescent="0.3">
      <c r="A20" s="1">
        <v>53</v>
      </c>
      <c r="B20" s="1" t="s">
        <v>60</v>
      </c>
      <c r="C20" s="1">
        <v>65.19</v>
      </c>
      <c r="D20" s="8">
        <v>67.010000000000005</v>
      </c>
      <c r="E20" s="8">
        <v>13.18</v>
      </c>
      <c r="F20" s="8">
        <v>7.63</v>
      </c>
      <c r="G20" s="1">
        <v>7598000</v>
      </c>
      <c r="H20" s="1">
        <v>21.21</v>
      </c>
      <c r="I20" s="8">
        <v>4.28</v>
      </c>
      <c r="J20" s="1">
        <v>109</v>
      </c>
      <c r="K20" s="1" t="str">
        <f>CONCATENATE(METADATA_SOURCES!$A$3,"; ",METADATA_SOURCES!$A$4)</f>
        <v>SRC002; SRC003</v>
      </c>
    </row>
    <row r="21" spans="1:11" x14ac:dyDescent="0.3">
      <c r="A21" s="1">
        <v>61</v>
      </c>
      <c r="B21" s="1" t="s">
        <v>61</v>
      </c>
      <c r="C21" s="1">
        <v>67.66</v>
      </c>
      <c r="D21" s="8">
        <v>70.69</v>
      </c>
      <c r="E21" s="8">
        <v>12.6</v>
      </c>
      <c r="F21" s="8">
        <v>7.37</v>
      </c>
      <c r="G21" s="1">
        <v>8930000</v>
      </c>
      <c r="H21" s="1">
        <v>7.24</v>
      </c>
      <c r="I21" s="8">
        <v>5.81</v>
      </c>
      <c r="J21" s="1">
        <v>37</v>
      </c>
      <c r="K21" s="1" t="str">
        <f>CONCATENATE(METADATA_SOURCES!$A$3,"; ",METADATA_SOURCES!$A$4)</f>
        <v>SRC002; SRC003</v>
      </c>
    </row>
    <row r="22" spans="1:11" x14ac:dyDescent="0.3">
      <c r="A22" s="1">
        <v>62</v>
      </c>
      <c r="B22" s="1" t="s">
        <v>62</v>
      </c>
      <c r="C22" s="1">
        <v>71.05</v>
      </c>
      <c r="D22" s="8">
        <v>69.739999999999995</v>
      </c>
      <c r="E22" s="8">
        <v>12.66</v>
      </c>
      <c r="F22" s="8">
        <v>8.59</v>
      </c>
      <c r="G22" s="1">
        <v>11154000</v>
      </c>
      <c r="H22" s="1">
        <v>5.26</v>
      </c>
      <c r="I22" s="8">
        <v>4.58</v>
      </c>
      <c r="J22" s="1">
        <v>17</v>
      </c>
      <c r="K22" s="1" t="str">
        <f>CONCATENATE(METADATA_SOURCES!$A$3,"; ",METADATA_SOURCES!$A$4)</f>
        <v>SRC002; SRC003</v>
      </c>
    </row>
    <row r="23" spans="1:11" x14ac:dyDescent="0.3">
      <c r="A23" s="1">
        <v>63</v>
      </c>
      <c r="B23" s="1" t="s">
        <v>63</v>
      </c>
      <c r="C23" s="1">
        <v>70.91</v>
      </c>
      <c r="D23" s="8">
        <v>68.66</v>
      </c>
      <c r="E23" s="8">
        <v>12.68</v>
      </c>
      <c r="F23" s="8">
        <v>8.2899999999999991</v>
      </c>
      <c r="G23" s="1">
        <v>12032000</v>
      </c>
      <c r="H23" s="1">
        <v>4.83</v>
      </c>
      <c r="I23" s="8">
        <v>4.74</v>
      </c>
      <c r="J23" s="1">
        <v>105</v>
      </c>
      <c r="K23" s="1" t="str">
        <f>CONCATENATE(METADATA_SOURCES!$A$3,"; ",METADATA_SOURCES!$A$4)</f>
        <v>SRC002; SRC003</v>
      </c>
    </row>
    <row r="24" spans="1:11" x14ac:dyDescent="0.3">
      <c r="A24" s="1">
        <v>64</v>
      </c>
      <c r="B24" s="1" t="s">
        <v>64</v>
      </c>
      <c r="C24" s="1">
        <v>76.239999999999995</v>
      </c>
      <c r="D24" s="8">
        <v>74.33</v>
      </c>
      <c r="E24" s="8">
        <v>13.72</v>
      </c>
      <c r="F24" s="8">
        <v>9.77</v>
      </c>
      <c r="G24" s="1">
        <v>11728000</v>
      </c>
      <c r="H24" s="1">
        <v>6.64</v>
      </c>
      <c r="I24" s="8">
        <v>6.87</v>
      </c>
      <c r="J24" s="1">
        <v>29</v>
      </c>
      <c r="K24" s="1" t="str">
        <f>CONCATENATE(METADATA_SOURCES!$A$3,"; ",METADATA_SOURCES!$A$4)</f>
        <v>SRC002; SRC003</v>
      </c>
    </row>
    <row r="25" spans="1:11" x14ac:dyDescent="0.3">
      <c r="A25" s="1">
        <v>65</v>
      </c>
      <c r="B25" s="1" t="s">
        <v>65</v>
      </c>
      <c r="C25" s="1">
        <v>70.63</v>
      </c>
      <c r="D25" s="8">
        <v>72.59</v>
      </c>
      <c r="E25" s="8">
        <v>12.93</v>
      </c>
      <c r="F25" s="8">
        <v>9</v>
      </c>
      <c r="G25" s="1">
        <v>8756000</v>
      </c>
      <c r="H25" s="1">
        <v>7.41</v>
      </c>
      <c r="I25" s="8">
        <v>4.97</v>
      </c>
      <c r="J25" s="1">
        <v>9</v>
      </c>
      <c r="K25" s="1" t="str">
        <f>CONCATENATE(METADATA_SOURCES!$A$3,"; ",METADATA_SOURCES!$A$4)</f>
        <v>SRC002; SRC003</v>
      </c>
    </row>
    <row r="26" spans="1:11" x14ac:dyDescent="0.3">
      <c r="A26" s="1">
        <v>71</v>
      </c>
      <c r="B26" s="1" t="s">
        <v>66</v>
      </c>
      <c r="C26" s="1">
        <v>72.930000000000007</v>
      </c>
      <c r="D26" s="8">
        <v>71.69</v>
      </c>
      <c r="E26" s="8">
        <v>12.85</v>
      </c>
      <c r="F26" s="8">
        <v>9.49</v>
      </c>
      <c r="G26" s="1">
        <v>10791000</v>
      </c>
      <c r="H26" s="1">
        <v>7.78</v>
      </c>
      <c r="I26" s="8">
        <v>7.37</v>
      </c>
      <c r="J26" s="1">
        <v>189</v>
      </c>
      <c r="K26" s="1" t="str">
        <f>CONCATENATE(METADATA_SOURCES!$A$3,"; ",METADATA_SOURCES!$A$4)</f>
        <v>SRC002; SRC003</v>
      </c>
    </row>
    <row r="27" spans="1:11" x14ac:dyDescent="0.3">
      <c r="A27" s="1">
        <v>72</v>
      </c>
      <c r="B27" s="1" t="s">
        <v>67</v>
      </c>
      <c r="C27" s="1">
        <v>69.55</v>
      </c>
      <c r="D27" s="8">
        <v>68.69</v>
      </c>
      <c r="E27" s="8">
        <v>13.17</v>
      </c>
      <c r="F27" s="8">
        <v>8.83</v>
      </c>
      <c r="G27" s="1">
        <v>9335000</v>
      </c>
      <c r="H27" s="1">
        <v>13.06</v>
      </c>
      <c r="I27" s="8">
        <v>3.77</v>
      </c>
      <c r="J27" s="1">
        <v>48</v>
      </c>
      <c r="K27" s="1" t="str">
        <f>CONCATENATE(METADATA_SOURCES!$A$3,"; ",METADATA_SOURCES!$A$4)</f>
        <v>SRC002; SRC003</v>
      </c>
    </row>
    <row r="28" spans="1:11" x14ac:dyDescent="0.3">
      <c r="A28" s="1">
        <v>73</v>
      </c>
      <c r="B28" s="1" t="s">
        <v>68</v>
      </c>
      <c r="C28" s="1">
        <v>71.930000000000007</v>
      </c>
      <c r="D28" s="8">
        <v>70.569999999999993</v>
      </c>
      <c r="E28" s="8">
        <v>13.45</v>
      </c>
      <c r="F28" s="8">
        <v>8.3800000000000008</v>
      </c>
      <c r="G28" s="1">
        <v>11079000</v>
      </c>
      <c r="H28" s="1">
        <v>8.99</v>
      </c>
      <c r="I28" s="8">
        <v>6.31</v>
      </c>
      <c r="J28" s="1">
        <v>194</v>
      </c>
      <c r="K28" s="1" t="str">
        <f>CONCATENATE(METADATA_SOURCES!$A$3,"; ",METADATA_SOURCES!$A$4)</f>
        <v>SRC002; SRC003</v>
      </c>
    </row>
    <row r="29" spans="1:11" x14ac:dyDescent="0.3">
      <c r="A29" s="1">
        <v>74</v>
      </c>
      <c r="B29" s="1" t="s">
        <v>69</v>
      </c>
      <c r="C29" s="1">
        <v>71.45</v>
      </c>
      <c r="D29" s="8">
        <v>71.22</v>
      </c>
      <c r="E29" s="8">
        <v>13.65</v>
      </c>
      <c r="F29" s="8">
        <v>9.0399999999999991</v>
      </c>
      <c r="G29" s="1">
        <v>9331000</v>
      </c>
      <c r="H29" s="1">
        <v>11.69</v>
      </c>
      <c r="I29" s="8">
        <v>4.58</v>
      </c>
      <c r="J29" s="1">
        <v>69</v>
      </c>
      <c r="K29" s="1" t="str">
        <f>CONCATENATE(METADATA_SOURCES!$A$3,"; ",METADATA_SOURCES!$A$4)</f>
        <v>SRC002; SRC003</v>
      </c>
    </row>
    <row r="30" spans="1:11" x14ac:dyDescent="0.3">
      <c r="A30" s="1">
        <v>75</v>
      </c>
      <c r="B30" s="1" t="s">
        <v>70</v>
      </c>
      <c r="C30" s="1">
        <v>68.680000000000007</v>
      </c>
      <c r="D30" s="8">
        <v>68.069999999999993</v>
      </c>
      <c r="E30" s="8">
        <v>13.08</v>
      </c>
      <c r="F30" s="8">
        <v>7.82</v>
      </c>
      <c r="G30" s="1">
        <v>10020000</v>
      </c>
      <c r="H30" s="1">
        <v>15.59</v>
      </c>
      <c r="I30" s="8">
        <v>4.28</v>
      </c>
      <c r="J30" s="1">
        <v>104</v>
      </c>
      <c r="K30" s="1" t="str">
        <f>CONCATENATE(METADATA_SOURCES!$A$3,"; ",METADATA_SOURCES!$A$4)</f>
        <v>SRC002; SRC003</v>
      </c>
    </row>
    <row r="31" spans="1:11" x14ac:dyDescent="0.3">
      <c r="A31" s="1">
        <v>76</v>
      </c>
      <c r="B31" s="1" t="s">
        <v>71</v>
      </c>
      <c r="C31" s="1">
        <v>66.11</v>
      </c>
      <c r="D31" s="8">
        <v>65.06</v>
      </c>
      <c r="E31" s="8">
        <v>12.77</v>
      </c>
      <c r="F31" s="8">
        <v>7.89</v>
      </c>
      <c r="G31" s="1">
        <v>9168000</v>
      </c>
      <c r="H31" s="1">
        <v>11.5</v>
      </c>
      <c r="I31" s="8">
        <v>3.32</v>
      </c>
      <c r="J31" s="1">
        <v>85</v>
      </c>
      <c r="K31" s="1" t="str">
        <f>CONCATENATE(METADATA_SOURCES!$A$3,"; ",METADATA_SOURCES!$A$4)</f>
        <v>SRC002; SRC003</v>
      </c>
    </row>
    <row r="32" spans="1:11" x14ac:dyDescent="0.3">
      <c r="A32" s="1">
        <v>81</v>
      </c>
      <c r="B32" s="1" t="s">
        <v>72</v>
      </c>
      <c r="C32" s="1">
        <v>69.489999999999995</v>
      </c>
      <c r="D32" s="8">
        <v>65.98</v>
      </c>
      <c r="E32" s="8">
        <v>13.96</v>
      </c>
      <c r="F32" s="8">
        <v>9.93</v>
      </c>
      <c r="G32" s="1">
        <v>8732000</v>
      </c>
      <c r="H32" s="1">
        <v>17.989999999999998</v>
      </c>
      <c r="I32" s="8">
        <v>7.57</v>
      </c>
      <c r="J32" s="1">
        <v>39</v>
      </c>
      <c r="K32" s="1" t="str">
        <f>CONCATENATE(METADATA_SOURCES!$A$3,"; ",METADATA_SOURCES!$A$4)</f>
        <v>SRC002; SRC003</v>
      </c>
    </row>
    <row r="33" spans="1:11" x14ac:dyDescent="0.3">
      <c r="A33" s="1">
        <v>82</v>
      </c>
      <c r="B33" s="1" t="s">
        <v>73</v>
      </c>
      <c r="C33" s="1">
        <v>68.489999999999995</v>
      </c>
      <c r="D33" s="8">
        <v>68.33</v>
      </c>
      <c r="E33" s="8">
        <v>13.67</v>
      </c>
      <c r="F33" s="8">
        <v>9.0399999999999991</v>
      </c>
      <c r="G33" s="1">
        <v>8032000</v>
      </c>
      <c r="H33" s="1">
        <v>6.97</v>
      </c>
      <c r="I33" s="8">
        <v>5.15</v>
      </c>
      <c r="J33" s="1">
        <v>40</v>
      </c>
      <c r="K33" s="1" t="str">
        <f>CONCATENATE(METADATA_SOURCES!$A$3,"; ",METADATA_SOURCES!$A$4)</f>
        <v>SRC002; SRC003</v>
      </c>
    </row>
    <row r="34" spans="1:11" x14ac:dyDescent="0.3">
      <c r="A34" s="1">
        <v>91</v>
      </c>
      <c r="B34" s="1" t="s">
        <v>74</v>
      </c>
      <c r="C34" s="1">
        <v>65.09</v>
      </c>
      <c r="D34" s="8">
        <v>66.02</v>
      </c>
      <c r="E34" s="8">
        <v>12.91</v>
      </c>
      <c r="F34" s="8">
        <v>7.6</v>
      </c>
      <c r="G34" s="1">
        <v>8086000</v>
      </c>
      <c r="H34" s="1">
        <v>21.7</v>
      </c>
      <c r="I34" s="8">
        <v>6.8</v>
      </c>
      <c r="J34" s="1">
        <v>11</v>
      </c>
      <c r="K34" s="1" t="str">
        <f>CONCATENATE(METADATA_SOURCES!$A$3,"; ",METADATA_SOURCES!$A$4)</f>
        <v>SRC002; SRC003</v>
      </c>
    </row>
    <row r="35" spans="1:11" x14ac:dyDescent="0.3">
      <c r="A35" s="1">
        <v>94</v>
      </c>
      <c r="B35" s="1" t="s">
        <v>75</v>
      </c>
      <c r="C35" s="1">
        <v>60.44</v>
      </c>
      <c r="D35" s="8">
        <v>65.790000000000006</v>
      </c>
      <c r="E35" s="8">
        <v>11.08</v>
      </c>
      <c r="F35" s="8">
        <v>6.69</v>
      </c>
      <c r="G35" s="1">
        <v>6954000</v>
      </c>
      <c r="H35" s="1">
        <v>26.8</v>
      </c>
      <c r="I35" s="8">
        <v>4.28</v>
      </c>
      <c r="J35" s="1">
        <v>13</v>
      </c>
      <c r="K35" s="1" t="str">
        <f>CONCATENATE(METADATA_SOURCES!$A$3,"; ",METADATA_SOURCES!$A$4)</f>
        <v>SRC002; SRC003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15"/>
  <sheetViews>
    <sheetView topLeftCell="B1" workbookViewId="0">
      <pane ySplit="1" topLeftCell="A2" activePane="bottomLeft" state="frozen"/>
      <selection pane="bottomLeft" activeCell="M22" sqref="M22"/>
    </sheetView>
  </sheetViews>
  <sheetFormatPr defaultRowHeight="14.4" x14ac:dyDescent="0.3"/>
  <cols>
    <col min="1" max="1" width="14" customWidth="1"/>
    <col min="2" max="2" width="28" customWidth="1"/>
    <col min="3" max="3" width="15" customWidth="1"/>
    <col min="4" max="4" width="24" customWidth="1"/>
    <col min="5" max="5" width="17.88671875" bestFit="1" customWidth="1"/>
    <col min="6" max="6" width="12" customWidth="1"/>
    <col min="7" max="7" width="20" customWidth="1"/>
    <col min="8" max="8" width="12" customWidth="1"/>
    <col min="9" max="9" width="18" customWidth="1"/>
    <col min="10" max="10" width="50.88671875" bestFit="1" customWidth="1"/>
  </cols>
  <sheetData>
    <row r="1" spans="1:10" x14ac:dyDescent="0.3">
      <c r="A1" t="s">
        <v>718</v>
      </c>
      <c r="B1" t="s">
        <v>719</v>
      </c>
      <c r="C1" t="s">
        <v>720</v>
      </c>
      <c r="D1" t="s">
        <v>721</v>
      </c>
      <c r="E1" t="s">
        <v>722</v>
      </c>
      <c r="F1" t="s">
        <v>723</v>
      </c>
      <c r="G1" t="s">
        <v>724</v>
      </c>
      <c r="H1" t="s">
        <v>725</v>
      </c>
      <c r="I1" t="s">
        <v>726</v>
      </c>
      <c r="J1" t="s">
        <v>717</v>
      </c>
    </row>
    <row r="2" spans="1:10" x14ac:dyDescent="0.3">
      <c r="A2" s="10">
        <v>1101</v>
      </c>
      <c r="B2" s="10" t="s">
        <v>99</v>
      </c>
      <c r="C2" s="10" t="str">
        <f t="shared" ref="C2:C65" si="0">LEFT(A2,2)</f>
        <v>11</v>
      </c>
      <c r="D2" s="10" t="s">
        <v>42</v>
      </c>
      <c r="E2" s="10">
        <v>18.489999999999998</v>
      </c>
      <c r="F2" s="10">
        <v>66.03</v>
      </c>
      <c r="G2" s="10">
        <v>24551000</v>
      </c>
      <c r="H2" s="10">
        <v>5.47</v>
      </c>
      <c r="I2" s="8">
        <v>92865</v>
      </c>
      <c r="J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" spans="1:10" x14ac:dyDescent="0.3">
      <c r="A3" s="10">
        <v>1102</v>
      </c>
      <c r="B3" s="10" t="s">
        <v>100</v>
      </c>
      <c r="C3" s="10" t="str">
        <f t="shared" si="0"/>
        <v>11</v>
      </c>
      <c r="D3" s="12" t="s">
        <v>42</v>
      </c>
      <c r="E3" s="12">
        <v>20.2</v>
      </c>
      <c r="F3" s="12">
        <v>68.94</v>
      </c>
      <c r="G3" s="12">
        <v>19229000</v>
      </c>
      <c r="H3" s="12">
        <v>8.24</v>
      </c>
      <c r="I3" s="8">
        <v>126514</v>
      </c>
      <c r="J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" spans="1:10" x14ac:dyDescent="0.3">
      <c r="A4" s="10">
        <v>1103</v>
      </c>
      <c r="B4" s="10" t="s">
        <v>101</v>
      </c>
      <c r="C4" s="10" t="str">
        <f t="shared" si="0"/>
        <v>11</v>
      </c>
      <c r="D4" s="12" t="s">
        <v>42</v>
      </c>
      <c r="E4" s="12">
        <v>12.87</v>
      </c>
      <c r="F4" s="12">
        <v>67.12</v>
      </c>
      <c r="G4" s="12">
        <v>23854000</v>
      </c>
      <c r="H4" s="12">
        <v>6.54</v>
      </c>
      <c r="I4" s="8">
        <v>232414</v>
      </c>
      <c r="J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" spans="1:10" x14ac:dyDescent="0.3">
      <c r="A5" s="10">
        <v>1104</v>
      </c>
      <c r="B5" s="10" t="s">
        <v>102</v>
      </c>
      <c r="C5" s="10" t="str">
        <f t="shared" si="0"/>
        <v>11</v>
      </c>
      <c r="D5" s="12" t="s">
        <v>42</v>
      </c>
      <c r="E5" s="12">
        <v>13.21</v>
      </c>
      <c r="F5" s="12">
        <v>69.37</v>
      </c>
      <c r="G5" s="12">
        <v>22999000</v>
      </c>
      <c r="H5" s="12">
        <v>5.72</v>
      </c>
      <c r="I5" s="8">
        <v>220860</v>
      </c>
      <c r="J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" spans="1:10" x14ac:dyDescent="0.3">
      <c r="A6" s="10">
        <v>1105</v>
      </c>
      <c r="B6" s="10" t="s">
        <v>103</v>
      </c>
      <c r="C6" s="10" t="str">
        <f t="shared" si="0"/>
        <v>11</v>
      </c>
      <c r="D6" s="12" t="s">
        <v>42</v>
      </c>
      <c r="E6" s="12">
        <v>14.08</v>
      </c>
      <c r="F6" s="12">
        <v>67.63</v>
      </c>
      <c r="G6" s="12">
        <v>25181000</v>
      </c>
      <c r="H6" s="12">
        <v>7.26</v>
      </c>
      <c r="I6" s="8">
        <v>422401</v>
      </c>
      <c r="J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" spans="1:10" x14ac:dyDescent="0.3">
      <c r="A7" s="10">
        <v>1106</v>
      </c>
      <c r="B7" s="10" t="s">
        <v>104</v>
      </c>
      <c r="C7" s="10" t="str">
        <f t="shared" si="0"/>
        <v>11</v>
      </c>
      <c r="D7" s="12" t="s">
        <v>42</v>
      </c>
      <c r="E7" s="12">
        <v>15.08</v>
      </c>
      <c r="F7" s="12">
        <v>73.239999999999995</v>
      </c>
      <c r="G7" s="12">
        <v>34407000</v>
      </c>
      <c r="H7" s="12">
        <v>3.05</v>
      </c>
      <c r="I7" s="8">
        <v>215576</v>
      </c>
      <c r="J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" spans="1:10" x14ac:dyDescent="0.3">
      <c r="A8" s="10">
        <v>1107</v>
      </c>
      <c r="B8" s="10" t="s">
        <v>105</v>
      </c>
      <c r="C8" s="10" t="str">
        <f t="shared" si="0"/>
        <v>11</v>
      </c>
      <c r="D8" s="12" t="s">
        <v>42</v>
      </c>
      <c r="E8" s="12">
        <v>18.34</v>
      </c>
      <c r="F8" s="12">
        <v>71.38</v>
      </c>
      <c r="G8" s="12">
        <v>40898000</v>
      </c>
      <c r="H8" s="12">
        <v>7.3</v>
      </c>
      <c r="I8" s="8">
        <v>198736</v>
      </c>
      <c r="J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" spans="1:10" x14ac:dyDescent="0.3">
      <c r="A9" s="10">
        <v>1108</v>
      </c>
      <c r="B9" s="10" t="s">
        <v>106</v>
      </c>
      <c r="C9" s="10" t="str">
        <f t="shared" si="0"/>
        <v>11</v>
      </c>
      <c r="D9" s="12" t="s">
        <v>42</v>
      </c>
      <c r="E9" s="12">
        <v>13.84</v>
      </c>
      <c r="F9" s="12">
        <v>73.56</v>
      </c>
      <c r="G9" s="12">
        <v>32951000</v>
      </c>
      <c r="H9" s="12">
        <v>7.62</v>
      </c>
      <c r="I9" s="8">
        <v>405535</v>
      </c>
      <c r="J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" spans="1:10" x14ac:dyDescent="0.3">
      <c r="A10" s="10">
        <v>1109</v>
      </c>
      <c r="B10" s="10" t="s">
        <v>107</v>
      </c>
      <c r="C10" s="10" t="str">
        <f t="shared" si="0"/>
        <v>11</v>
      </c>
      <c r="D10" s="12" t="s">
        <v>42</v>
      </c>
      <c r="E10" s="12">
        <v>19.23</v>
      </c>
      <c r="F10" s="12">
        <v>70.63</v>
      </c>
      <c r="G10" s="12">
        <v>24776000</v>
      </c>
      <c r="H10" s="12">
        <v>6.45</v>
      </c>
      <c r="I10" s="8">
        <v>435275</v>
      </c>
      <c r="J1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" spans="1:10" x14ac:dyDescent="0.3">
      <c r="A11" s="10">
        <v>1110</v>
      </c>
      <c r="B11" s="10" t="s">
        <v>108</v>
      </c>
      <c r="C11" s="10" t="str">
        <f t="shared" si="0"/>
        <v>11</v>
      </c>
      <c r="D11" s="12" t="s">
        <v>42</v>
      </c>
      <c r="E11" s="12">
        <v>13.06</v>
      </c>
      <c r="F11" s="12">
        <v>72.28</v>
      </c>
      <c r="G11" s="12">
        <v>30034000</v>
      </c>
      <c r="H11" s="12">
        <v>4.12</v>
      </c>
      <c r="I11" s="8">
        <v>436418</v>
      </c>
      <c r="J1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" spans="1:10" x14ac:dyDescent="0.3">
      <c r="A12" s="10">
        <v>1111</v>
      </c>
      <c r="B12" s="10" t="s">
        <v>109</v>
      </c>
      <c r="C12" s="10" t="str">
        <f t="shared" si="0"/>
        <v>11</v>
      </c>
      <c r="D12" s="12" t="s">
        <v>42</v>
      </c>
      <c r="E12" s="12">
        <v>17.02</v>
      </c>
      <c r="F12" s="12">
        <v>69.33</v>
      </c>
      <c r="G12" s="12">
        <v>32756000</v>
      </c>
      <c r="H12" s="12">
        <v>8.56</v>
      </c>
      <c r="I12" s="8">
        <v>602793</v>
      </c>
      <c r="J1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" spans="1:10" x14ac:dyDescent="0.3">
      <c r="A13" s="10">
        <v>1112</v>
      </c>
      <c r="B13" s="10" t="s">
        <v>110</v>
      </c>
      <c r="C13" s="10" t="str">
        <f t="shared" si="0"/>
        <v>11</v>
      </c>
      <c r="D13" s="12" t="s">
        <v>42</v>
      </c>
      <c r="E13" s="12">
        <v>15.93</v>
      </c>
      <c r="F13" s="12">
        <v>66.75</v>
      </c>
      <c r="G13" s="12">
        <v>26070000</v>
      </c>
      <c r="H13" s="12">
        <v>3.93</v>
      </c>
      <c r="I13" s="8">
        <v>150775</v>
      </c>
      <c r="J1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" spans="1:10" x14ac:dyDescent="0.3">
      <c r="A14" s="10">
        <v>1113</v>
      </c>
      <c r="B14" s="10" t="s">
        <v>111</v>
      </c>
      <c r="C14" s="10" t="str">
        <f t="shared" si="0"/>
        <v>11</v>
      </c>
      <c r="D14" s="12" t="s">
        <v>42</v>
      </c>
      <c r="E14" s="12">
        <v>19.32</v>
      </c>
      <c r="F14" s="12">
        <v>67.22</v>
      </c>
      <c r="G14" s="12">
        <v>27182000</v>
      </c>
      <c r="H14" s="12">
        <v>2.0099999999999998</v>
      </c>
      <c r="I14" s="8">
        <v>99532</v>
      </c>
      <c r="J1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" spans="1:10" x14ac:dyDescent="0.3">
      <c r="A15" s="10">
        <v>1114</v>
      </c>
      <c r="B15" s="10" t="s">
        <v>112</v>
      </c>
      <c r="C15" s="10" t="str">
        <f t="shared" si="0"/>
        <v>11</v>
      </c>
      <c r="D15" s="12" t="s">
        <v>42</v>
      </c>
      <c r="E15" s="12">
        <v>13.08</v>
      </c>
      <c r="F15" s="12">
        <v>69.239999999999995</v>
      </c>
      <c r="G15" s="12">
        <v>25594000</v>
      </c>
      <c r="H15" s="12">
        <v>7.97</v>
      </c>
      <c r="I15" s="8">
        <v>294356</v>
      </c>
      <c r="J1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" spans="1:10" x14ac:dyDescent="0.3">
      <c r="A16" s="10">
        <v>1115</v>
      </c>
      <c r="B16" s="10" t="s">
        <v>113</v>
      </c>
      <c r="C16" s="10" t="str">
        <f t="shared" si="0"/>
        <v>11</v>
      </c>
      <c r="D16" s="12" t="s">
        <v>42</v>
      </c>
      <c r="E16" s="12">
        <v>17.7</v>
      </c>
      <c r="F16" s="12">
        <v>69.180000000000007</v>
      </c>
      <c r="G16" s="12">
        <v>45632000</v>
      </c>
      <c r="H16" s="12">
        <v>5.1100000000000003</v>
      </c>
      <c r="I16" s="8">
        <v>168392</v>
      </c>
      <c r="J1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" spans="1:10" x14ac:dyDescent="0.3">
      <c r="A17" s="10">
        <v>1116</v>
      </c>
      <c r="B17" s="10" t="s">
        <v>114</v>
      </c>
      <c r="C17" s="10" t="str">
        <f t="shared" si="0"/>
        <v>11</v>
      </c>
      <c r="D17" s="12" t="s">
        <v>42</v>
      </c>
      <c r="E17" s="12">
        <v>12.87</v>
      </c>
      <c r="F17" s="12">
        <v>69.75</v>
      </c>
      <c r="G17" s="12">
        <v>28291000</v>
      </c>
      <c r="H17" s="12">
        <v>4.08</v>
      </c>
      <c r="I17" s="8">
        <v>93159</v>
      </c>
      <c r="J1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" spans="1:10" x14ac:dyDescent="0.3">
      <c r="A18" s="10">
        <v>1117</v>
      </c>
      <c r="B18" s="10" t="s">
        <v>115</v>
      </c>
      <c r="C18" s="10" t="str">
        <f t="shared" si="0"/>
        <v>11</v>
      </c>
      <c r="D18" s="12" t="s">
        <v>42</v>
      </c>
      <c r="E18" s="12">
        <v>18.89</v>
      </c>
      <c r="F18" s="12">
        <v>72.98</v>
      </c>
      <c r="G18" s="12">
        <v>28229000</v>
      </c>
      <c r="H18" s="12">
        <v>1.35</v>
      </c>
      <c r="I18" s="8">
        <v>161342</v>
      </c>
      <c r="J1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" spans="1:10" x14ac:dyDescent="0.3">
      <c r="A19" s="10">
        <v>1118</v>
      </c>
      <c r="B19" s="10" t="s">
        <v>116</v>
      </c>
      <c r="C19" s="10" t="str">
        <f t="shared" si="0"/>
        <v>11</v>
      </c>
      <c r="D19" s="12" t="s">
        <v>42</v>
      </c>
      <c r="E19" s="12">
        <v>19.190000000000001</v>
      </c>
      <c r="F19" s="12">
        <v>73.2</v>
      </c>
      <c r="G19" s="12">
        <v>22171000</v>
      </c>
      <c r="H19" s="12">
        <v>6.58</v>
      </c>
      <c r="I19" s="8">
        <v>158397</v>
      </c>
      <c r="J1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" spans="1:10" x14ac:dyDescent="0.3">
      <c r="A20" s="10">
        <v>1171</v>
      </c>
      <c r="B20" s="10" t="s">
        <v>117</v>
      </c>
      <c r="C20" s="10" t="str">
        <f t="shared" si="0"/>
        <v>11</v>
      </c>
      <c r="D20" s="12" t="s">
        <v>42</v>
      </c>
      <c r="E20" s="12">
        <v>6.9</v>
      </c>
      <c r="F20" s="12">
        <v>85.41</v>
      </c>
      <c r="G20" s="12">
        <v>73305000</v>
      </c>
      <c r="H20" s="12">
        <v>9.5399999999999991</v>
      </c>
      <c r="I20" s="8">
        <v>252899</v>
      </c>
      <c r="J2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" spans="1:10" x14ac:dyDescent="0.3">
      <c r="A21" s="10">
        <v>1172</v>
      </c>
      <c r="B21" s="10" t="s">
        <v>118</v>
      </c>
      <c r="C21" s="10" t="str">
        <f t="shared" si="0"/>
        <v>11</v>
      </c>
      <c r="D21" s="12" t="s">
        <v>42</v>
      </c>
      <c r="E21" s="12">
        <v>14.94</v>
      </c>
      <c r="F21" s="12">
        <v>75.78</v>
      </c>
      <c r="G21" s="12">
        <v>37409000</v>
      </c>
      <c r="H21" s="12">
        <v>4.8099999999999996</v>
      </c>
      <c r="I21" s="8">
        <v>41197</v>
      </c>
      <c r="J2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" spans="1:10" x14ac:dyDescent="0.3">
      <c r="A22" s="10">
        <v>1173</v>
      </c>
      <c r="B22" s="10" t="s">
        <v>119</v>
      </c>
      <c r="C22" s="10" t="str">
        <f t="shared" si="0"/>
        <v>11</v>
      </c>
      <c r="D22" s="12" t="s">
        <v>42</v>
      </c>
      <c r="E22" s="12">
        <v>10.44</v>
      </c>
      <c r="F22" s="12">
        <v>77.17</v>
      </c>
      <c r="G22" s="12">
        <v>28486000</v>
      </c>
      <c r="H22" s="12">
        <v>9.75</v>
      </c>
      <c r="I22" s="8">
        <v>185971</v>
      </c>
      <c r="J2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" spans="1:10" x14ac:dyDescent="0.3">
      <c r="A23" s="10">
        <v>1174</v>
      </c>
      <c r="B23" s="10" t="s">
        <v>120</v>
      </c>
      <c r="C23" s="10" t="str">
        <f t="shared" si="0"/>
        <v>11</v>
      </c>
      <c r="D23" s="12" t="s">
        <v>42</v>
      </c>
      <c r="E23" s="12">
        <v>10.8</v>
      </c>
      <c r="F23" s="12">
        <v>77.31</v>
      </c>
      <c r="G23" s="12">
        <v>47052000</v>
      </c>
      <c r="H23" s="12">
        <v>11.99</v>
      </c>
      <c r="I23" s="8">
        <v>188713</v>
      </c>
      <c r="J2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" spans="1:10" x14ac:dyDescent="0.3">
      <c r="A24" s="10">
        <v>1175</v>
      </c>
      <c r="B24" s="10" t="s">
        <v>121</v>
      </c>
      <c r="C24" s="10" t="str">
        <f t="shared" si="0"/>
        <v>11</v>
      </c>
      <c r="D24" s="12" t="s">
        <v>42</v>
      </c>
      <c r="E24" s="12">
        <v>17.600000000000001</v>
      </c>
      <c r="F24" s="12">
        <v>64.930000000000007</v>
      </c>
      <c r="G24" s="12">
        <v>20002000</v>
      </c>
      <c r="H24" s="12">
        <v>6.93</v>
      </c>
      <c r="I24" s="8">
        <v>90751</v>
      </c>
      <c r="J2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" spans="1:10" x14ac:dyDescent="0.3">
      <c r="A25" s="10">
        <v>1201</v>
      </c>
      <c r="B25" s="10" t="s">
        <v>122</v>
      </c>
      <c r="C25" s="10" t="str">
        <f t="shared" si="0"/>
        <v>12</v>
      </c>
      <c r="D25" s="12" t="s">
        <v>43</v>
      </c>
      <c r="E25" s="12">
        <v>16.600000000000001</v>
      </c>
      <c r="F25" s="12">
        <v>61.93</v>
      </c>
      <c r="G25" s="12">
        <v>27619000</v>
      </c>
      <c r="H25" s="12">
        <v>3.49</v>
      </c>
      <c r="I25" s="8">
        <v>146672</v>
      </c>
      <c r="J2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" spans="1:10" x14ac:dyDescent="0.3">
      <c r="A26" s="10">
        <v>1202</v>
      </c>
      <c r="B26" s="10" t="s">
        <v>123</v>
      </c>
      <c r="C26" s="10" t="str">
        <f t="shared" si="0"/>
        <v>12</v>
      </c>
      <c r="D26" s="12" t="s">
        <v>43</v>
      </c>
      <c r="E26" s="12">
        <v>9.18</v>
      </c>
      <c r="F26" s="12">
        <v>66.790000000000006</v>
      </c>
      <c r="G26" s="12">
        <v>29379000</v>
      </c>
      <c r="H26" s="12">
        <v>6.5</v>
      </c>
      <c r="I26" s="8">
        <v>472886</v>
      </c>
      <c r="J2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" spans="1:10" x14ac:dyDescent="0.3">
      <c r="A27" s="10">
        <v>1203</v>
      </c>
      <c r="B27" s="10" t="s">
        <v>124</v>
      </c>
      <c r="C27" s="10" t="str">
        <f t="shared" si="0"/>
        <v>12</v>
      </c>
      <c r="D27" s="12" t="s">
        <v>43</v>
      </c>
      <c r="E27" s="12">
        <v>8.4700000000000006</v>
      </c>
      <c r="F27" s="12">
        <v>70.12</v>
      </c>
      <c r="G27" s="12">
        <v>48807000</v>
      </c>
      <c r="H27" s="12">
        <v>4.42</v>
      </c>
      <c r="I27" s="8">
        <v>300911</v>
      </c>
      <c r="J2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" spans="1:10" x14ac:dyDescent="0.3">
      <c r="A28" s="10">
        <v>1204</v>
      </c>
      <c r="B28" s="10" t="s">
        <v>125</v>
      </c>
      <c r="C28" s="10" t="str">
        <f t="shared" si="0"/>
        <v>12</v>
      </c>
      <c r="D28" s="12" t="s">
        <v>43</v>
      </c>
      <c r="E28" s="12">
        <v>12.38</v>
      </c>
      <c r="F28" s="12">
        <v>69.23</v>
      </c>
      <c r="G28" s="12">
        <v>27868000</v>
      </c>
      <c r="H28" s="12">
        <v>7.54</v>
      </c>
      <c r="I28" s="8">
        <v>365177</v>
      </c>
      <c r="J2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" spans="1:10" x14ac:dyDescent="0.3">
      <c r="A29" s="10">
        <v>1205</v>
      </c>
      <c r="B29" s="10" t="s">
        <v>126</v>
      </c>
      <c r="C29" s="10" t="str">
        <f t="shared" si="0"/>
        <v>12</v>
      </c>
      <c r="D29" s="12" t="s">
        <v>43</v>
      </c>
      <c r="E29" s="12">
        <v>9.3699999999999992</v>
      </c>
      <c r="F29" s="12">
        <v>73.47</v>
      </c>
      <c r="G29" s="12">
        <v>26525000</v>
      </c>
      <c r="H29" s="12">
        <v>2.94</v>
      </c>
      <c r="I29" s="8">
        <v>312758</v>
      </c>
      <c r="J2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" spans="1:10" x14ac:dyDescent="0.3">
      <c r="A30" s="10">
        <v>1206</v>
      </c>
      <c r="B30" s="10" t="s">
        <v>127</v>
      </c>
      <c r="C30" s="10" t="str">
        <f t="shared" si="0"/>
        <v>12</v>
      </c>
      <c r="D30" s="12" t="s">
        <v>43</v>
      </c>
      <c r="E30" s="12">
        <v>8.7100000000000009</v>
      </c>
      <c r="F30" s="12">
        <v>75.16</v>
      </c>
      <c r="G30" s="12">
        <v>38204000</v>
      </c>
      <c r="H30" s="12">
        <v>2.5</v>
      </c>
      <c r="I30" s="8">
        <v>206199</v>
      </c>
      <c r="J3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" spans="1:10" x14ac:dyDescent="0.3">
      <c r="A31" s="10">
        <v>1207</v>
      </c>
      <c r="B31" s="10" t="s">
        <v>128</v>
      </c>
      <c r="C31" s="10" t="str">
        <f t="shared" si="0"/>
        <v>12</v>
      </c>
      <c r="D31" s="12" t="s">
        <v>43</v>
      </c>
      <c r="E31" s="12">
        <v>8.44</v>
      </c>
      <c r="F31" s="12">
        <v>72.010000000000005</v>
      </c>
      <c r="G31" s="12">
        <v>70449000</v>
      </c>
      <c r="H31" s="12">
        <v>6.05</v>
      </c>
      <c r="I31" s="8">
        <v>493899</v>
      </c>
      <c r="J3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" spans="1:10" x14ac:dyDescent="0.3">
      <c r="A32" s="10">
        <v>1208</v>
      </c>
      <c r="B32" s="10" t="s">
        <v>129</v>
      </c>
      <c r="C32" s="10" t="str">
        <f t="shared" si="0"/>
        <v>12</v>
      </c>
      <c r="D32" s="12" t="s">
        <v>43</v>
      </c>
      <c r="E32" s="12">
        <v>9.0399999999999991</v>
      </c>
      <c r="F32" s="12">
        <v>70.290000000000006</v>
      </c>
      <c r="G32" s="12">
        <v>50417000</v>
      </c>
      <c r="H32" s="12">
        <v>7.24</v>
      </c>
      <c r="I32" s="8">
        <v>769960</v>
      </c>
      <c r="J3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" spans="1:10" x14ac:dyDescent="0.3">
      <c r="A33" s="10">
        <v>1209</v>
      </c>
      <c r="B33" s="10" t="s">
        <v>130</v>
      </c>
      <c r="C33" s="10" t="str">
        <f t="shared" si="0"/>
        <v>12</v>
      </c>
      <c r="D33" s="12" t="s">
        <v>43</v>
      </c>
      <c r="E33" s="12">
        <v>8.4600000000000009</v>
      </c>
      <c r="F33" s="12">
        <v>73.25</v>
      </c>
      <c r="G33" s="12">
        <v>40010000</v>
      </c>
      <c r="H33" s="12">
        <v>4.58</v>
      </c>
      <c r="I33" s="8">
        <v>990246</v>
      </c>
      <c r="J3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" spans="1:10" x14ac:dyDescent="0.3">
      <c r="A34" s="10">
        <v>1210</v>
      </c>
      <c r="B34" s="10" t="s">
        <v>131</v>
      </c>
      <c r="C34" s="10" t="str">
        <f t="shared" si="0"/>
        <v>12</v>
      </c>
      <c r="D34" s="12" t="s">
        <v>43</v>
      </c>
      <c r="E34" s="12">
        <v>8.0399999999999991</v>
      </c>
      <c r="F34" s="12">
        <v>71.569999999999993</v>
      </c>
      <c r="G34" s="12">
        <v>30271000</v>
      </c>
      <c r="H34" s="12">
        <v>1.75</v>
      </c>
      <c r="I34" s="8">
        <v>308764</v>
      </c>
      <c r="J3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" spans="1:10" x14ac:dyDescent="0.3">
      <c r="A35" s="10">
        <v>1211</v>
      </c>
      <c r="B35" s="10" t="s">
        <v>132</v>
      </c>
      <c r="C35" s="10" t="str">
        <f t="shared" si="0"/>
        <v>12</v>
      </c>
      <c r="D35" s="12" t="s">
        <v>43</v>
      </c>
      <c r="E35" s="12">
        <v>8.6999999999999993</v>
      </c>
      <c r="F35" s="12">
        <v>74.430000000000007</v>
      </c>
      <c r="G35" s="12">
        <v>51961000</v>
      </c>
      <c r="H35" s="12">
        <v>1.83</v>
      </c>
      <c r="I35" s="8">
        <v>404998</v>
      </c>
      <c r="J3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" spans="1:10" x14ac:dyDescent="0.3">
      <c r="A36" s="10">
        <v>1212</v>
      </c>
      <c r="B36" s="10" t="s">
        <v>133</v>
      </c>
      <c r="C36" s="10" t="str">
        <f t="shared" si="0"/>
        <v>12</v>
      </c>
      <c r="D36" s="12" t="s">
        <v>43</v>
      </c>
      <c r="E36" s="12">
        <v>3.88</v>
      </c>
      <c r="F36" s="12">
        <v>75.44</v>
      </c>
      <c r="G36" s="12">
        <v>57122000</v>
      </c>
      <c r="H36" s="12">
        <v>9.5</v>
      </c>
      <c r="I36" s="8">
        <v>1931441</v>
      </c>
      <c r="J3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" spans="1:10" x14ac:dyDescent="0.3">
      <c r="A37" s="10">
        <v>1213</v>
      </c>
      <c r="B37" s="10" t="s">
        <v>134</v>
      </c>
      <c r="C37" s="10" t="str">
        <f t="shared" si="0"/>
        <v>12</v>
      </c>
      <c r="D37" s="12" t="s">
        <v>43</v>
      </c>
      <c r="E37" s="12">
        <v>9.73</v>
      </c>
      <c r="F37" s="12">
        <v>71</v>
      </c>
      <c r="G37" s="12">
        <v>41997000</v>
      </c>
      <c r="H37" s="12">
        <v>7.02</v>
      </c>
      <c r="I37" s="8">
        <v>1030202</v>
      </c>
      <c r="J3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" spans="1:10" x14ac:dyDescent="0.3">
      <c r="A38" s="10">
        <v>1214</v>
      </c>
      <c r="B38" s="10" t="s">
        <v>135</v>
      </c>
      <c r="C38" s="10" t="str">
        <f t="shared" si="0"/>
        <v>12</v>
      </c>
      <c r="D38" s="12" t="s">
        <v>43</v>
      </c>
      <c r="E38" s="12">
        <v>16.739999999999998</v>
      </c>
      <c r="F38" s="12">
        <v>61.89</v>
      </c>
      <c r="G38" s="12">
        <v>19975000</v>
      </c>
      <c r="H38" s="12">
        <v>4.1500000000000004</v>
      </c>
      <c r="I38" s="8">
        <v>360531</v>
      </c>
      <c r="J3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" spans="1:10" x14ac:dyDescent="0.3">
      <c r="A39" s="10">
        <v>1215</v>
      </c>
      <c r="B39" s="10" t="s">
        <v>136</v>
      </c>
      <c r="C39" s="10" t="str">
        <f t="shared" si="0"/>
        <v>12</v>
      </c>
      <c r="D39" s="12" t="s">
        <v>43</v>
      </c>
      <c r="E39" s="12">
        <v>9.36</v>
      </c>
      <c r="F39" s="12">
        <v>68.87</v>
      </c>
      <c r="G39" s="12">
        <v>31067000</v>
      </c>
      <c r="H39" s="12">
        <v>0.84</v>
      </c>
      <c r="I39" s="8">
        <v>197751</v>
      </c>
      <c r="J3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" spans="1:10" x14ac:dyDescent="0.3">
      <c r="A40" s="10">
        <v>1216</v>
      </c>
      <c r="B40" s="10" t="s">
        <v>137</v>
      </c>
      <c r="C40" s="10" t="str">
        <f t="shared" si="0"/>
        <v>12</v>
      </c>
      <c r="D40" s="12" t="s">
        <v>43</v>
      </c>
      <c r="E40" s="12">
        <v>9.2799999999999994</v>
      </c>
      <c r="F40" s="12">
        <v>67.59</v>
      </c>
      <c r="G40" s="12">
        <v>23282000</v>
      </c>
      <c r="H40" s="12">
        <v>1.93</v>
      </c>
      <c r="I40" s="8">
        <v>52351</v>
      </c>
      <c r="J4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" spans="1:10" x14ac:dyDescent="0.3">
      <c r="A41" s="10">
        <v>1217</v>
      </c>
      <c r="B41" s="10" t="s">
        <v>138</v>
      </c>
      <c r="C41" s="10" t="str">
        <f t="shared" si="0"/>
        <v>12</v>
      </c>
      <c r="D41" s="12" t="s">
        <v>43</v>
      </c>
      <c r="E41" s="12">
        <v>12.48</v>
      </c>
      <c r="F41" s="12">
        <v>70.63</v>
      </c>
      <c r="G41" s="12">
        <v>33396000</v>
      </c>
      <c r="H41" s="12">
        <v>1.2</v>
      </c>
      <c r="I41" s="8">
        <v>136441</v>
      </c>
      <c r="J4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" spans="1:10" x14ac:dyDescent="0.3">
      <c r="A42" s="10">
        <v>1218</v>
      </c>
      <c r="B42" s="10" t="s">
        <v>139</v>
      </c>
      <c r="C42" s="10" t="str">
        <f t="shared" si="0"/>
        <v>12</v>
      </c>
      <c r="D42" s="12" t="s">
        <v>43</v>
      </c>
      <c r="E42" s="12">
        <v>7.97</v>
      </c>
      <c r="F42" s="12">
        <v>70.239999999999995</v>
      </c>
      <c r="G42" s="12">
        <v>43601000</v>
      </c>
      <c r="H42" s="12">
        <v>5.54</v>
      </c>
      <c r="I42" s="8">
        <v>657490</v>
      </c>
      <c r="J4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" spans="1:10" x14ac:dyDescent="0.3">
      <c r="A43" s="10">
        <v>1219</v>
      </c>
      <c r="B43" s="10" t="s">
        <v>140</v>
      </c>
      <c r="C43" s="10" t="str">
        <f t="shared" si="0"/>
        <v>12</v>
      </c>
      <c r="D43" s="12" t="s">
        <v>43</v>
      </c>
      <c r="E43" s="12">
        <v>11.88</v>
      </c>
      <c r="F43" s="12">
        <v>68.36</v>
      </c>
      <c r="G43" s="12">
        <v>85362000</v>
      </c>
      <c r="H43" s="12">
        <v>6.48</v>
      </c>
      <c r="I43" s="8">
        <v>410678</v>
      </c>
      <c r="J4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" spans="1:10" x14ac:dyDescent="0.3">
      <c r="A44" s="10">
        <v>1220</v>
      </c>
      <c r="B44" s="10" t="s">
        <v>141</v>
      </c>
      <c r="C44" s="10" t="str">
        <f t="shared" si="0"/>
        <v>12</v>
      </c>
      <c r="D44" s="12" t="s">
        <v>43</v>
      </c>
      <c r="E44" s="12">
        <v>9.6999999999999993</v>
      </c>
      <c r="F44" s="12">
        <v>69.849999999999994</v>
      </c>
      <c r="G44" s="12">
        <v>46922000</v>
      </c>
      <c r="H44" s="12">
        <v>3.11</v>
      </c>
      <c r="I44" s="8">
        <v>260720</v>
      </c>
      <c r="J4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" spans="1:10" x14ac:dyDescent="0.3">
      <c r="A45" s="10">
        <v>1221</v>
      </c>
      <c r="B45" s="10" t="s">
        <v>142</v>
      </c>
      <c r="C45" s="10" t="str">
        <f t="shared" si="0"/>
        <v>12</v>
      </c>
      <c r="D45" s="12" t="s">
        <v>43</v>
      </c>
      <c r="E45" s="12">
        <v>8.3699999999999992</v>
      </c>
      <c r="F45" s="12">
        <v>68.25</v>
      </c>
      <c r="G45" s="12">
        <v>46121000</v>
      </c>
      <c r="H45" s="12">
        <v>4.1100000000000003</v>
      </c>
      <c r="I45" s="8">
        <v>261011</v>
      </c>
      <c r="J4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" spans="1:10" x14ac:dyDescent="0.3">
      <c r="A46" s="10">
        <v>1222</v>
      </c>
      <c r="B46" s="10" t="s">
        <v>143</v>
      </c>
      <c r="C46" s="10" t="str">
        <f t="shared" si="0"/>
        <v>12</v>
      </c>
      <c r="D46" s="12" t="s">
        <v>43</v>
      </c>
      <c r="E46" s="12">
        <v>8.34</v>
      </c>
      <c r="F46" s="12">
        <v>71.400000000000006</v>
      </c>
      <c r="G46" s="12">
        <v>90032000</v>
      </c>
      <c r="H46" s="12">
        <v>4.9000000000000004</v>
      </c>
      <c r="I46" s="8">
        <v>314094</v>
      </c>
      <c r="J4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" spans="1:10" x14ac:dyDescent="0.3">
      <c r="A47" s="10">
        <v>1223</v>
      </c>
      <c r="B47" s="10" t="s">
        <v>144</v>
      </c>
      <c r="C47" s="10" t="str">
        <f t="shared" si="0"/>
        <v>12</v>
      </c>
      <c r="D47" s="12" t="s">
        <v>43</v>
      </c>
      <c r="E47" s="12">
        <v>9.5299999999999994</v>
      </c>
      <c r="F47" s="12">
        <v>71.61</v>
      </c>
      <c r="G47" s="12">
        <v>66167000</v>
      </c>
      <c r="H47" s="12">
        <v>6.82</v>
      </c>
      <c r="I47" s="8">
        <v>381994</v>
      </c>
      <c r="J4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" spans="1:10" x14ac:dyDescent="0.3">
      <c r="A48" s="10">
        <v>1224</v>
      </c>
      <c r="B48" s="10" t="s">
        <v>145</v>
      </c>
      <c r="C48" s="10" t="str">
        <f t="shared" si="0"/>
        <v>12</v>
      </c>
      <c r="D48" s="12" t="s">
        <v>43</v>
      </c>
      <c r="E48" s="12">
        <v>25.07</v>
      </c>
      <c r="F48" s="12">
        <v>62.36</v>
      </c>
      <c r="G48" s="12">
        <v>25277000</v>
      </c>
      <c r="H48" s="12">
        <v>4.54</v>
      </c>
      <c r="I48" s="8">
        <v>147274</v>
      </c>
      <c r="J4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" spans="1:10" x14ac:dyDescent="0.3">
      <c r="A49" s="10">
        <v>1225</v>
      </c>
      <c r="B49" s="10" t="s">
        <v>146</v>
      </c>
      <c r="C49" s="10" t="str">
        <f t="shared" si="0"/>
        <v>12</v>
      </c>
      <c r="D49" s="12" t="s">
        <v>43</v>
      </c>
      <c r="E49" s="12">
        <v>25.69</v>
      </c>
      <c r="F49" s="12">
        <v>61.51</v>
      </c>
      <c r="G49" s="12">
        <v>21408000</v>
      </c>
      <c r="H49" s="12">
        <v>1.71</v>
      </c>
      <c r="I49" s="8">
        <v>89994</v>
      </c>
      <c r="J4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" spans="1:10" x14ac:dyDescent="0.3">
      <c r="A50" s="10">
        <v>1271</v>
      </c>
      <c r="B50" s="10" t="s">
        <v>147</v>
      </c>
      <c r="C50" s="10" t="str">
        <f t="shared" si="0"/>
        <v>12</v>
      </c>
      <c r="D50" s="12" t="s">
        <v>43</v>
      </c>
      <c r="E50" s="12">
        <v>11.95</v>
      </c>
      <c r="F50" s="12">
        <v>73.63</v>
      </c>
      <c r="G50" s="12">
        <v>62649000</v>
      </c>
      <c r="H50" s="12">
        <v>8</v>
      </c>
      <c r="I50" s="8">
        <v>89584</v>
      </c>
      <c r="J5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" spans="1:10" x14ac:dyDescent="0.3">
      <c r="A51" s="10">
        <v>1272</v>
      </c>
      <c r="B51" s="10" t="s">
        <v>148</v>
      </c>
      <c r="C51" s="10" t="str">
        <f t="shared" si="0"/>
        <v>12</v>
      </c>
      <c r="D51" s="12" t="s">
        <v>43</v>
      </c>
      <c r="E51" s="12">
        <v>13.33</v>
      </c>
      <c r="F51" s="12">
        <v>68.650000000000006</v>
      </c>
      <c r="G51" s="12">
        <v>52311000</v>
      </c>
      <c r="H51" s="12">
        <v>6.97</v>
      </c>
      <c r="I51" s="8">
        <v>176027</v>
      </c>
      <c r="J5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2" spans="1:10" x14ac:dyDescent="0.3">
      <c r="A52" s="10">
        <v>1273</v>
      </c>
      <c r="B52" s="10" t="s">
        <v>149</v>
      </c>
      <c r="C52" s="10" t="str">
        <f t="shared" si="0"/>
        <v>12</v>
      </c>
      <c r="D52" s="12" t="s">
        <v>43</v>
      </c>
      <c r="E52" s="12">
        <v>8.27</v>
      </c>
      <c r="F52" s="12">
        <v>78.75</v>
      </c>
      <c r="G52" s="12">
        <v>52051000</v>
      </c>
      <c r="H52" s="12">
        <v>11.5</v>
      </c>
      <c r="I52" s="8">
        <v>268254</v>
      </c>
      <c r="J5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3" spans="1:10" x14ac:dyDescent="0.3">
      <c r="A53" s="10">
        <v>1274</v>
      </c>
      <c r="B53" s="10" t="s">
        <v>150</v>
      </c>
      <c r="C53" s="10" t="str">
        <f t="shared" si="0"/>
        <v>12</v>
      </c>
      <c r="D53" s="12" t="s">
        <v>43</v>
      </c>
      <c r="E53" s="12">
        <v>9.85</v>
      </c>
      <c r="F53" s="12">
        <v>75.17</v>
      </c>
      <c r="G53" s="12">
        <v>35142000</v>
      </c>
      <c r="H53" s="12">
        <v>9.98</v>
      </c>
      <c r="I53" s="8">
        <v>172838</v>
      </c>
      <c r="J5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4" spans="1:10" x14ac:dyDescent="0.3">
      <c r="A54" s="10">
        <v>1275</v>
      </c>
      <c r="B54" s="10" t="s">
        <v>151</v>
      </c>
      <c r="C54" s="10" t="str">
        <f t="shared" si="0"/>
        <v>12</v>
      </c>
      <c r="D54" s="12" t="s">
        <v>43</v>
      </c>
      <c r="E54" s="12">
        <v>8.01</v>
      </c>
      <c r="F54" s="12">
        <v>80.98</v>
      </c>
      <c r="G54" s="12">
        <v>99801000</v>
      </c>
      <c r="H54" s="12">
        <v>10.74</v>
      </c>
      <c r="I54" s="8">
        <v>2435252</v>
      </c>
      <c r="J5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5" spans="1:10" x14ac:dyDescent="0.3">
      <c r="A55" s="10">
        <v>1276</v>
      </c>
      <c r="B55" s="10" t="s">
        <v>152</v>
      </c>
      <c r="C55" s="10" t="str">
        <f t="shared" si="0"/>
        <v>12</v>
      </c>
      <c r="D55" s="12" t="s">
        <v>43</v>
      </c>
      <c r="E55" s="12">
        <v>5.71</v>
      </c>
      <c r="F55" s="12">
        <v>75.89</v>
      </c>
      <c r="G55" s="12">
        <v>40488000</v>
      </c>
      <c r="H55" s="12">
        <v>8.67</v>
      </c>
      <c r="I55" s="8">
        <v>291842</v>
      </c>
      <c r="J5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6" spans="1:10" x14ac:dyDescent="0.3">
      <c r="A56" s="10">
        <v>1277</v>
      </c>
      <c r="B56" s="10" t="s">
        <v>153</v>
      </c>
      <c r="C56" s="10" t="str">
        <f t="shared" si="0"/>
        <v>12</v>
      </c>
      <c r="D56" s="12" t="s">
        <v>43</v>
      </c>
      <c r="E56" s="12">
        <v>7.4</v>
      </c>
      <c r="F56" s="12">
        <v>75.22</v>
      </c>
      <c r="G56" s="12">
        <v>28889000</v>
      </c>
      <c r="H56" s="12">
        <v>7.45</v>
      </c>
      <c r="I56" s="8">
        <v>225105</v>
      </c>
      <c r="J5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7" spans="1:10" x14ac:dyDescent="0.3">
      <c r="A57" s="10">
        <v>1278</v>
      </c>
      <c r="B57" s="10" t="s">
        <v>154</v>
      </c>
      <c r="C57" s="10" t="str">
        <f t="shared" si="0"/>
        <v>12</v>
      </c>
      <c r="D57" s="12" t="s">
        <v>43</v>
      </c>
      <c r="E57" s="12">
        <v>16.41</v>
      </c>
      <c r="F57" s="12">
        <v>69.31</v>
      </c>
      <c r="G57" s="12">
        <v>42535000</v>
      </c>
      <c r="H57" s="12">
        <v>5.94</v>
      </c>
      <c r="I57" s="8">
        <v>136017</v>
      </c>
      <c r="J5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8" spans="1:10" x14ac:dyDescent="0.3">
      <c r="A58" s="10">
        <v>1301</v>
      </c>
      <c r="B58" s="10" t="s">
        <v>155</v>
      </c>
      <c r="C58" s="10" t="str">
        <f t="shared" si="0"/>
        <v>13</v>
      </c>
      <c r="D58" s="12" t="s">
        <v>44</v>
      </c>
      <c r="E58" s="12">
        <v>14.35</v>
      </c>
      <c r="F58" s="12">
        <v>61.09</v>
      </c>
      <c r="G58" s="12">
        <v>53188000</v>
      </c>
      <c r="H58" s="12">
        <v>3.98</v>
      </c>
      <c r="I58" s="8">
        <v>87623</v>
      </c>
      <c r="J5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9" spans="1:10" x14ac:dyDescent="0.3">
      <c r="A59" s="10">
        <v>1302</v>
      </c>
      <c r="B59" s="10" t="s">
        <v>156</v>
      </c>
      <c r="C59" s="10" t="str">
        <f t="shared" si="0"/>
        <v>13</v>
      </c>
      <c r="D59" s="12" t="s">
        <v>44</v>
      </c>
      <c r="E59" s="12">
        <v>7.61</v>
      </c>
      <c r="F59" s="12">
        <v>69.900000000000006</v>
      </c>
      <c r="G59" s="12">
        <v>28040000</v>
      </c>
      <c r="H59" s="12">
        <v>7</v>
      </c>
      <c r="I59" s="8">
        <v>504418</v>
      </c>
      <c r="J5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0" spans="1:10" x14ac:dyDescent="0.3">
      <c r="A60" s="10">
        <v>1303</v>
      </c>
      <c r="B60" s="10" t="s">
        <v>157</v>
      </c>
      <c r="C60" s="10" t="str">
        <f t="shared" si="0"/>
        <v>13</v>
      </c>
      <c r="D60" s="12" t="s">
        <v>44</v>
      </c>
      <c r="E60" s="12">
        <v>7.81</v>
      </c>
      <c r="F60" s="12">
        <v>69.08</v>
      </c>
      <c r="G60" s="12">
        <v>34772000</v>
      </c>
      <c r="H60" s="12">
        <v>4.6500000000000004</v>
      </c>
      <c r="I60" s="8">
        <v>391497</v>
      </c>
      <c r="J6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1" spans="1:10" x14ac:dyDescent="0.3">
      <c r="A61" s="10">
        <v>1304</v>
      </c>
      <c r="B61" s="10" t="s">
        <v>158</v>
      </c>
      <c r="C61" s="10" t="str">
        <f t="shared" si="0"/>
        <v>13</v>
      </c>
      <c r="D61" s="12" t="s">
        <v>44</v>
      </c>
      <c r="E61" s="12">
        <v>6.78</v>
      </c>
      <c r="F61" s="12">
        <v>67.739999999999995</v>
      </c>
      <c r="G61" s="12">
        <v>38995000</v>
      </c>
      <c r="H61" s="12">
        <v>5.3</v>
      </c>
      <c r="I61" s="8">
        <v>235045</v>
      </c>
      <c r="J6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2" spans="1:10" x14ac:dyDescent="0.3">
      <c r="A62" s="10">
        <v>1305</v>
      </c>
      <c r="B62" s="10" t="s">
        <v>159</v>
      </c>
      <c r="C62" s="10" t="str">
        <f t="shared" si="0"/>
        <v>13</v>
      </c>
      <c r="D62" s="12" t="s">
        <v>44</v>
      </c>
      <c r="E62" s="12">
        <v>4.4000000000000004</v>
      </c>
      <c r="F62" s="12">
        <v>72.33</v>
      </c>
      <c r="G62" s="12">
        <v>35097000</v>
      </c>
      <c r="H62" s="12">
        <v>4.79</v>
      </c>
      <c r="I62" s="8">
        <v>371704</v>
      </c>
      <c r="J6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3" spans="1:10" x14ac:dyDescent="0.3">
      <c r="A63" s="10">
        <v>1306</v>
      </c>
      <c r="B63" s="10" t="s">
        <v>160</v>
      </c>
      <c r="C63" s="10" t="str">
        <f t="shared" si="0"/>
        <v>13</v>
      </c>
      <c r="D63" s="12" t="s">
        <v>44</v>
      </c>
      <c r="E63" s="12">
        <v>6.95</v>
      </c>
      <c r="F63" s="12">
        <v>70.61</v>
      </c>
      <c r="G63" s="12">
        <v>41723000</v>
      </c>
      <c r="H63" s="12">
        <v>8.1300000000000008</v>
      </c>
      <c r="I63" s="8">
        <v>430626</v>
      </c>
      <c r="J6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4" spans="1:10" x14ac:dyDescent="0.3">
      <c r="A64" s="10">
        <v>1307</v>
      </c>
      <c r="B64" s="10" t="s">
        <v>161</v>
      </c>
      <c r="C64" s="10" t="str">
        <f t="shared" si="0"/>
        <v>13</v>
      </c>
      <c r="D64" s="12" t="s">
        <v>44</v>
      </c>
      <c r="E64" s="12">
        <v>6.75</v>
      </c>
      <c r="F64" s="12">
        <v>72.459999999999994</v>
      </c>
      <c r="G64" s="12">
        <v>38631000</v>
      </c>
      <c r="H64" s="12">
        <v>4.6100000000000003</v>
      </c>
      <c r="I64" s="8">
        <v>529138</v>
      </c>
      <c r="J6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5" spans="1:10" x14ac:dyDescent="0.3">
      <c r="A65" s="10">
        <v>1308</v>
      </c>
      <c r="B65" s="10" t="s">
        <v>162</v>
      </c>
      <c r="C65" s="10" t="str">
        <f t="shared" si="0"/>
        <v>13</v>
      </c>
      <c r="D65" s="12" t="s">
        <v>44</v>
      </c>
      <c r="E65" s="12">
        <v>6.86</v>
      </c>
      <c r="F65" s="12">
        <v>69.47</v>
      </c>
      <c r="G65" s="12">
        <v>40595000</v>
      </c>
      <c r="H65" s="12">
        <v>3.03</v>
      </c>
      <c r="I65" s="8">
        <v>383525</v>
      </c>
      <c r="J6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6" spans="1:10" x14ac:dyDescent="0.3">
      <c r="A66" s="10">
        <v>1309</v>
      </c>
      <c r="B66" s="10" t="s">
        <v>163</v>
      </c>
      <c r="C66" s="10" t="str">
        <f t="shared" ref="C66:C129" si="1">LEFT(A66,2)</f>
        <v>13</v>
      </c>
      <c r="D66" s="12" t="s">
        <v>44</v>
      </c>
      <c r="E66" s="12">
        <v>7.16</v>
      </c>
      <c r="F66" s="12">
        <v>66.64</v>
      </c>
      <c r="G66" s="12">
        <v>30022000</v>
      </c>
      <c r="H66" s="12">
        <v>5.04</v>
      </c>
      <c r="I66" s="8">
        <v>299851</v>
      </c>
      <c r="J6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7" spans="1:10" x14ac:dyDescent="0.3">
      <c r="A67" s="10">
        <v>1310</v>
      </c>
      <c r="B67" s="10" t="s">
        <v>164</v>
      </c>
      <c r="C67" s="10" t="str">
        <f t="shared" si="1"/>
        <v>13</v>
      </c>
      <c r="D67" s="12" t="s">
        <v>44</v>
      </c>
      <c r="E67" s="12">
        <v>7.15</v>
      </c>
      <c r="F67" s="12">
        <v>69.040000000000006</v>
      </c>
      <c r="G67" s="12">
        <v>30541000</v>
      </c>
      <c r="H67" s="12">
        <v>5.62</v>
      </c>
      <c r="I67" s="8">
        <v>182027</v>
      </c>
      <c r="J6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8" spans="1:10" x14ac:dyDescent="0.3">
      <c r="A68" s="10">
        <v>1311</v>
      </c>
      <c r="B68" s="10" t="s">
        <v>165</v>
      </c>
      <c r="C68" s="10" t="str">
        <f t="shared" si="1"/>
        <v>13</v>
      </c>
      <c r="D68" s="12" t="s">
        <v>44</v>
      </c>
      <c r="E68" s="12">
        <v>6.23</v>
      </c>
      <c r="F68" s="12">
        <v>71.510000000000005</v>
      </c>
      <c r="G68" s="12">
        <v>44981000</v>
      </c>
      <c r="H68" s="12">
        <v>5.31</v>
      </c>
      <c r="I68" s="8">
        <v>228591</v>
      </c>
      <c r="J6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9" spans="1:10" x14ac:dyDescent="0.3">
      <c r="A69" s="10">
        <v>1312</v>
      </c>
      <c r="B69" s="10" t="s">
        <v>166</v>
      </c>
      <c r="C69" s="10" t="str">
        <f t="shared" si="1"/>
        <v>13</v>
      </c>
      <c r="D69" s="12" t="s">
        <v>44</v>
      </c>
      <c r="E69" s="12">
        <v>7.04</v>
      </c>
      <c r="F69" s="12">
        <v>68.489999999999995</v>
      </c>
      <c r="G69" s="12">
        <v>35461000</v>
      </c>
      <c r="H69" s="12">
        <v>4.6900000000000004</v>
      </c>
      <c r="I69" s="8">
        <v>431672</v>
      </c>
      <c r="J6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0" spans="1:10" x14ac:dyDescent="0.3">
      <c r="A70" s="10">
        <v>1371</v>
      </c>
      <c r="B70" s="10" t="s">
        <v>167</v>
      </c>
      <c r="C70" s="10" t="str">
        <f t="shared" si="1"/>
        <v>13</v>
      </c>
      <c r="D70" s="12" t="s">
        <v>44</v>
      </c>
      <c r="E70" s="12">
        <v>4.4000000000000004</v>
      </c>
      <c r="F70" s="12">
        <v>82.82</v>
      </c>
      <c r="G70" s="12">
        <v>68509000</v>
      </c>
      <c r="H70" s="12">
        <v>13.64</v>
      </c>
      <c r="I70" s="8">
        <v>909040</v>
      </c>
      <c r="J7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1" spans="1:10" x14ac:dyDescent="0.3">
      <c r="A71" s="10">
        <v>1372</v>
      </c>
      <c r="B71" s="10" t="s">
        <v>168</v>
      </c>
      <c r="C71" s="10" t="str">
        <f t="shared" si="1"/>
        <v>13</v>
      </c>
      <c r="D71" s="12" t="s">
        <v>44</v>
      </c>
      <c r="E71" s="12">
        <v>2.77</v>
      </c>
      <c r="F71" s="12">
        <v>78.290000000000006</v>
      </c>
      <c r="G71" s="12">
        <v>55293000</v>
      </c>
      <c r="H71" s="12">
        <v>8.35</v>
      </c>
      <c r="I71" s="8">
        <v>73438</v>
      </c>
      <c r="J7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2" spans="1:10" x14ac:dyDescent="0.3">
      <c r="A72" s="10">
        <v>1373</v>
      </c>
      <c r="B72" s="10" t="s">
        <v>169</v>
      </c>
      <c r="C72" s="10" t="str">
        <f t="shared" si="1"/>
        <v>13</v>
      </c>
      <c r="D72" s="12" t="s">
        <v>44</v>
      </c>
      <c r="E72" s="12">
        <v>2.16</v>
      </c>
      <c r="F72" s="12">
        <v>72.64</v>
      </c>
      <c r="G72" s="12">
        <v>56292000</v>
      </c>
      <c r="H72" s="12">
        <v>8.1999999999999993</v>
      </c>
      <c r="I72" s="8">
        <v>65138</v>
      </c>
      <c r="J7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3" spans="1:10" x14ac:dyDescent="0.3">
      <c r="A73" s="10">
        <v>1374</v>
      </c>
      <c r="B73" s="10" t="s">
        <v>170</v>
      </c>
      <c r="C73" s="10" t="str">
        <f t="shared" si="1"/>
        <v>13</v>
      </c>
      <c r="D73" s="12" t="s">
        <v>44</v>
      </c>
      <c r="E73" s="12">
        <v>5.24</v>
      </c>
      <c r="F73" s="12">
        <v>77.930000000000007</v>
      </c>
      <c r="G73" s="12">
        <v>61920000</v>
      </c>
      <c r="H73" s="12">
        <v>7.22</v>
      </c>
      <c r="I73" s="8">
        <v>56311</v>
      </c>
      <c r="J7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4" spans="1:10" x14ac:dyDescent="0.3">
      <c r="A74" s="10">
        <v>1375</v>
      </c>
      <c r="B74" s="10" t="s">
        <v>171</v>
      </c>
      <c r="C74" s="10" t="str">
        <f t="shared" si="1"/>
        <v>13</v>
      </c>
      <c r="D74" s="12" t="s">
        <v>44</v>
      </c>
      <c r="E74" s="12">
        <v>4.54</v>
      </c>
      <c r="F74" s="12">
        <v>80.58</v>
      </c>
      <c r="G74" s="12">
        <v>71391000</v>
      </c>
      <c r="H74" s="12">
        <v>7.51</v>
      </c>
      <c r="I74" s="8">
        <v>121028</v>
      </c>
      <c r="J7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5" spans="1:10" x14ac:dyDescent="0.3">
      <c r="A75" s="10">
        <v>1376</v>
      </c>
      <c r="B75" s="10" t="s">
        <v>172</v>
      </c>
      <c r="C75" s="10" t="str">
        <f t="shared" si="1"/>
        <v>13</v>
      </c>
      <c r="D75" s="12" t="s">
        <v>44</v>
      </c>
      <c r="E75" s="12">
        <v>5.65</v>
      </c>
      <c r="F75" s="12">
        <v>78.900000000000006</v>
      </c>
      <c r="G75" s="12">
        <v>49100000</v>
      </c>
      <c r="H75" s="12">
        <v>6.68</v>
      </c>
      <c r="I75" s="8">
        <v>139576</v>
      </c>
      <c r="J7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6" spans="1:10" x14ac:dyDescent="0.3">
      <c r="A76" s="10">
        <v>1377</v>
      </c>
      <c r="B76" s="10" t="s">
        <v>173</v>
      </c>
      <c r="C76" s="10" t="str">
        <f t="shared" si="1"/>
        <v>13</v>
      </c>
      <c r="D76" s="12" t="s">
        <v>44</v>
      </c>
      <c r="E76" s="12">
        <v>4.0999999999999996</v>
      </c>
      <c r="F76" s="12">
        <v>76.900000000000006</v>
      </c>
      <c r="G76" s="12">
        <v>53203000</v>
      </c>
      <c r="H76" s="12">
        <v>5.73</v>
      </c>
      <c r="I76" s="8">
        <v>94224</v>
      </c>
      <c r="J7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7" spans="1:10" x14ac:dyDescent="0.3">
      <c r="A77" s="10">
        <v>1401</v>
      </c>
      <c r="B77" s="10" t="s">
        <v>174</v>
      </c>
      <c r="C77" s="10" t="str">
        <f t="shared" si="1"/>
        <v>14</v>
      </c>
      <c r="D77" s="12" t="s">
        <v>45</v>
      </c>
      <c r="E77" s="12">
        <v>8.91</v>
      </c>
      <c r="F77" s="12">
        <v>70.31</v>
      </c>
      <c r="G77" s="12">
        <v>100869000</v>
      </c>
      <c r="H77" s="12">
        <v>5.21</v>
      </c>
      <c r="I77" s="8">
        <v>334943</v>
      </c>
      <c r="J7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8" spans="1:10" x14ac:dyDescent="0.3">
      <c r="A78" s="10">
        <v>1402</v>
      </c>
      <c r="B78" s="10" t="s">
        <v>175</v>
      </c>
      <c r="C78" s="10" t="str">
        <f t="shared" si="1"/>
        <v>14</v>
      </c>
      <c r="D78" s="12" t="s">
        <v>45</v>
      </c>
      <c r="E78" s="12">
        <v>5.96</v>
      </c>
      <c r="F78" s="12">
        <v>69.83</v>
      </c>
      <c r="G78" s="12">
        <v>95933000</v>
      </c>
      <c r="H78" s="12">
        <v>4.91</v>
      </c>
      <c r="I78" s="8">
        <v>444548</v>
      </c>
      <c r="J7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9" spans="1:10" x14ac:dyDescent="0.3">
      <c r="A79" s="10">
        <v>1403</v>
      </c>
      <c r="B79" s="10" t="s">
        <v>176</v>
      </c>
      <c r="C79" s="10" t="str">
        <f t="shared" si="1"/>
        <v>14</v>
      </c>
      <c r="D79" s="12" t="s">
        <v>45</v>
      </c>
      <c r="E79" s="12">
        <v>5.93</v>
      </c>
      <c r="F79" s="12">
        <v>66.540000000000006</v>
      </c>
      <c r="G79" s="12">
        <v>99283000</v>
      </c>
      <c r="H79" s="12">
        <v>4.3499999999999996</v>
      </c>
      <c r="I79" s="8">
        <v>654909</v>
      </c>
      <c r="J7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0" spans="1:10" x14ac:dyDescent="0.3">
      <c r="A80" s="10">
        <v>1404</v>
      </c>
      <c r="B80" s="10" t="s">
        <v>177</v>
      </c>
      <c r="C80" s="10" t="str">
        <f t="shared" si="1"/>
        <v>14</v>
      </c>
      <c r="D80" s="12" t="s">
        <v>45</v>
      </c>
      <c r="E80" s="12">
        <v>9.16</v>
      </c>
      <c r="F80" s="12">
        <v>71.56</v>
      </c>
      <c r="G80" s="12">
        <v>130721000</v>
      </c>
      <c r="H80" s="12">
        <v>5.99</v>
      </c>
      <c r="I80" s="8">
        <v>390046</v>
      </c>
      <c r="J8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1" spans="1:10" x14ac:dyDescent="0.3">
      <c r="A81" s="10">
        <v>1405</v>
      </c>
      <c r="B81" s="10" t="s">
        <v>178</v>
      </c>
      <c r="C81" s="10" t="str">
        <f t="shared" si="1"/>
        <v>14</v>
      </c>
      <c r="D81" s="12" t="s">
        <v>45</v>
      </c>
      <c r="E81" s="12">
        <v>5.09</v>
      </c>
      <c r="F81" s="12">
        <v>73.680000000000007</v>
      </c>
      <c r="G81" s="12">
        <v>168914000</v>
      </c>
      <c r="H81" s="12">
        <v>5.8</v>
      </c>
      <c r="I81" s="8">
        <v>457940</v>
      </c>
      <c r="J8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2" spans="1:10" x14ac:dyDescent="0.3">
      <c r="A82" s="10">
        <v>1406</v>
      </c>
      <c r="B82" s="10" t="s">
        <v>179</v>
      </c>
      <c r="C82" s="10" t="str">
        <f t="shared" si="1"/>
        <v>14</v>
      </c>
      <c r="D82" s="12" t="s">
        <v>45</v>
      </c>
      <c r="E82" s="12">
        <v>7.38</v>
      </c>
      <c r="F82" s="12">
        <v>72.83</v>
      </c>
      <c r="G82" s="12">
        <v>87171000</v>
      </c>
      <c r="H82" s="12">
        <v>6.15</v>
      </c>
      <c r="I82" s="8">
        <v>841332</v>
      </c>
      <c r="J8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3" spans="1:10" x14ac:dyDescent="0.3">
      <c r="A83" s="10">
        <v>1407</v>
      </c>
      <c r="B83" s="10" t="s">
        <v>180</v>
      </c>
      <c r="C83" s="10" t="str">
        <f t="shared" si="1"/>
        <v>14</v>
      </c>
      <c r="D83" s="12" t="s">
        <v>45</v>
      </c>
      <c r="E83" s="12">
        <v>10.31</v>
      </c>
      <c r="F83" s="12">
        <v>69.38</v>
      </c>
      <c r="G83" s="12">
        <v>64526000</v>
      </c>
      <c r="H83" s="12">
        <v>4.42</v>
      </c>
      <c r="I83" s="8">
        <v>561385</v>
      </c>
      <c r="J8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4" spans="1:10" x14ac:dyDescent="0.3">
      <c r="A84" s="10">
        <v>1408</v>
      </c>
      <c r="B84" s="10" t="s">
        <v>181</v>
      </c>
      <c r="C84" s="10" t="str">
        <f t="shared" si="1"/>
        <v>14</v>
      </c>
      <c r="D84" s="12" t="s">
        <v>45</v>
      </c>
      <c r="E84" s="12">
        <v>6.4</v>
      </c>
      <c r="F84" s="12">
        <v>73.459999999999994</v>
      </c>
      <c r="G84" s="12">
        <v>203160000</v>
      </c>
      <c r="H84" s="12">
        <v>9.31</v>
      </c>
      <c r="I84" s="8">
        <v>565569</v>
      </c>
      <c r="J8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5" spans="1:10" x14ac:dyDescent="0.3">
      <c r="A85" s="10">
        <v>1409</v>
      </c>
      <c r="B85" s="10" t="s">
        <v>182</v>
      </c>
      <c r="C85" s="10" t="str">
        <f t="shared" si="1"/>
        <v>14</v>
      </c>
      <c r="D85" s="12" t="s">
        <v>45</v>
      </c>
      <c r="E85" s="12">
        <v>6.72</v>
      </c>
      <c r="F85" s="12">
        <v>69.150000000000006</v>
      </c>
      <c r="G85" s="12">
        <v>106888000</v>
      </c>
      <c r="H85" s="12">
        <v>4.8</v>
      </c>
      <c r="I85" s="8">
        <v>637161</v>
      </c>
      <c r="J8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6" spans="1:10" x14ac:dyDescent="0.3">
      <c r="A86" s="10">
        <v>1410</v>
      </c>
      <c r="B86" s="10" t="s">
        <v>183</v>
      </c>
      <c r="C86" s="10" t="str">
        <f t="shared" si="1"/>
        <v>14</v>
      </c>
      <c r="D86" s="12" t="s">
        <v>45</v>
      </c>
      <c r="E86" s="12">
        <v>25.28</v>
      </c>
      <c r="F86" s="12">
        <v>65.5</v>
      </c>
      <c r="G86" s="12">
        <v>87958000</v>
      </c>
      <c r="H86" s="12">
        <v>7.94</v>
      </c>
      <c r="I86" s="8">
        <v>206116</v>
      </c>
      <c r="J8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7" spans="1:10" x14ac:dyDescent="0.3">
      <c r="A87" s="10">
        <v>1471</v>
      </c>
      <c r="B87" s="10" t="s">
        <v>184</v>
      </c>
      <c r="C87" s="10" t="str">
        <f t="shared" si="1"/>
        <v>14</v>
      </c>
      <c r="D87" s="12" t="s">
        <v>45</v>
      </c>
      <c r="E87" s="12">
        <v>2.62</v>
      </c>
      <c r="F87" s="12">
        <v>81.319999999999993</v>
      </c>
      <c r="G87" s="12">
        <v>117663000</v>
      </c>
      <c r="H87" s="12">
        <v>8.56</v>
      </c>
      <c r="I87" s="8">
        <v>983356</v>
      </c>
      <c r="J8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8" spans="1:10" x14ac:dyDescent="0.3">
      <c r="A88" s="10">
        <v>1473</v>
      </c>
      <c r="B88" s="10" t="s">
        <v>185</v>
      </c>
      <c r="C88" s="10" t="str">
        <f t="shared" si="1"/>
        <v>14</v>
      </c>
      <c r="D88" s="12" t="s">
        <v>45</v>
      </c>
      <c r="E88" s="12">
        <v>3.16</v>
      </c>
      <c r="F88" s="12">
        <v>74.400000000000006</v>
      </c>
      <c r="G88" s="12">
        <v>115224000</v>
      </c>
      <c r="H88" s="12">
        <v>8.19</v>
      </c>
      <c r="I88" s="8">
        <v>316782</v>
      </c>
      <c r="J8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9" spans="1:10" x14ac:dyDescent="0.3">
      <c r="A89" s="10">
        <v>1501</v>
      </c>
      <c r="B89" s="10" t="s">
        <v>186</v>
      </c>
      <c r="C89" s="10" t="str">
        <f t="shared" si="1"/>
        <v>15</v>
      </c>
      <c r="D89" s="12" t="s">
        <v>46</v>
      </c>
      <c r="E89" s="12">
        <v>7.3</v>
      </c>
      <c r="F89" s="12">
        <v>71.209999999999994</v>
      </c>
      <c r="G89" s="12">
        <v>41859000</v>
      </c>
      <c r="H89" s="12">
        <v>2.4300000000000002</v>
      </c>
      <c r="I89" s="8">
        <v>250259</v>
      </c>
      <c r="J8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0" spans="1:10" x14ac:dyDescent="0.3">
      <c r="A90" s="10">
        <v>1502</v>
      </c>
      <c r="B90" s="10" t="s">
        <v>187</v>
      </c>
      <c r="C90" s="10" t="str">
        <f t="shared" si="1"/>
        <v>15</v>
      </c>
      <c r="D90" s="12" t="s">
        <v>46</v>
      </c>
      <c r="E90" s="12">
        <v>8.6300000000000008</v>
      </c>
      <c r="F90" s="12">
        <v>69.19</v>
      </c>
      <c r="G90" s="12">
        <v>44298000</v>
      </c>
      <c r="H90" s="12">
        <v>4.8600000000000003</v>
      </c>
      <c r="I90" s="8">
        <v>354052</v>
      </c>
      <c r="J9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1" spans="1:10" x14ac:dyDescent="0.3">
      <c r="A91" s="10">
        <v>1503</v>
      </c>
      <c r="B91" s="10" t="s">
        <v>188</v>
      </c>
      <c r="C91" s="10" t="str">
        <f t="shared" si="1"/>
        <v>15</v>
      </c>
      <c r="D91" s="12" t="s">
        <v>46</v>
      </c>
      <c r="E91" s="12">
        <v>8.42</v>
      </c>
      <c r="F91" s="12">
        <v>69.86</v>
      </c>
      <c r="G91" s="12">
        <v>49917000</v>
      </c>
      <c r="H91" s="12">
        <v>5.71</v>
      </c>
      <c r="I91" s="8">
        <v>290047</v>
      </c>
      <c r="J9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2" spans="1:10" x14ac:dyDescent="0.3">
      <c r="A92" s="10">
        <v>1504</v>
      </c>
      <c r="B92" s="10" t="s">
        <v>189</v>
      </c>
      <c r="C92" s="10" t="str">
        <f t="shared" si="1"/>
        <v>15</v>
      </c>
      <c r="D92" s="12" t="s">
        <v>46</v>
      </c>
      <c r="E92" s="12">
        <v>9.65</v>
      </c>
      <c r="F92" s="12">
        <v>69.84</v>
      </c>
      <c r="G92" s="12">
        <v>54600000</v>
      </c>
      <c r="H92" s="12">
        <v>4.42</v>
      </c>
      <c r="I92" s="8">
        <v>301700</v>
      </c>
      <c r="J9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3" spans="1:10" x14ac:dyDescent="0.3">
      <c r="A93" s="10">
        <v>1505</v>
      </c>
      <c r="B93" s="10" t="s">
        <v>190</v>
      </c>
      <c r="C93" s="10" t="str">
        <f t="shared" si="1"/>
        <v>15</v>
      </c>
      <c r="D93" s="12" t="s">
        <v>46</v>
      </c>
      <c r="E93" s="12">
        <v>3.83</v>
      </c>
      <c r="F93" s="12">
        <v>69.180000000000007</v>
      </c>
      <c r="G93" s="12">
        <v>60848000</v>
      </c>
      <c r="H93" s="12">
        <v>5.43</v>
      </c>
      <c r="I93" s="8">
        <v>402017</v>
      </c>
      <c r="J9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4" spans="1:10" x14ac:dyDescent="0.3">
      <c r="A94" s="10">
        <v>1506</v>
      </c>
      <c r="B94" s="10" t="s">
        <v>191</v>
      </c>
      <c r="C94" s="10" t="str">
        <f t="shared" si="1"/>
        <v>15</v>
      </c>
      <c r="D94" s="12" t="s">
        <v>46</v>
      </c>
      <c r="E94" s="12">
        <v>10.95</v>
      </c>
      <c r="F94" s="12">
        <v>64.430000000000007</v>
      </c>
      <c r="G94" s="12">
        <v>85307000</v>
      </c>
      <c r="H94" s="12">
        <v>1.41</v>
      </c>
      <c r="I94" s="8">
        <v>229813</v>
      </c>
      <c r="J9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5" spans="1:10" x14ac:dyDescent="0.3">
      <c r="A95" s="10">
        <v>1507</v>
      </c>
      <c r="B95" s="10" t="s">
        <v>192</v>
      </c>
      <c r="C95" s="10" t="str">
        <f t="shared" si="1"/>
        <v>15</v>
      </c>
      <c r="D95" s="12" t="s">
        <v>46</v>
      </c>
      <c r="E95" s="12">
        <v>10.29</v>
      </c>
      <c r="F95" s="12">
        <v>67.540000000000006</v>
      </c>
      <c r="G95" s="12">
        <v>117256000</v>
      </c>
      <c r="H95" s="12">
        <v>2.16</v>
      </c>
      <c r="I95" s="8">
        <v>317498</v>
      </c>
      <c r="J9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6" spans="1:10" x14ac:dyDescent="0.3">
      <c r="A96" s="10">
        <v>1508</v>
      </c>
      <c r="B96" s="10" t="s">
        <v>193</v>
      </c>
      <c r="C96" s="10" t="str">
        <f t="shared" si="1"/>
        <v>15</v>
      </c>
      <c r="D96" s="12" t="s">
        <v>46</v>
      </c>
      <c r="E96" s="12">
        <v>6.26</v>
      </c>
      <c r="F96" s="12">
        <v>69.14</v>
      </c>
      <c r="G96" s="12">
        <v>43753000</v>
      </c>
      <c r="H96" s="12">
        <v>2.95</v>
      </c>
      <c r="I96" s="8">
        <v>337669</v>
      </c>
      <c r="J9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7" spans="1:10" x14ac:dyDescent="0.3">
      <c r="A97" s="10">
        <v>1509</v>
      </c>
      <c r="B97" s="10" t="s">
        <v>194</v>
      </c>
      <c r="C97" s="10" t="str">
        <f t="shared" si="1"/>
        <v>15</v>
      </c>
      <c r="D97" s="12" t="s">
        <v>46</v>
      </c>
      <c r="E97" s="12">
        <v>5.8</v>
      </c>
      <c r="F97" s="12">
        <v>69.92</v>
      </c>
      <c r="G97" s="12">
        <v>47937000</v>
      </c>
      <c r="H97" s="12">
        <v>5.94</v>
      </c>
      <c r="I97" s="8">
        <v>362363</v>
      </c>
      <c r="J9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8" spans="1:10" x14ac:dyDescent="0.3">
      <c r="A98" s="10">
        <v>1571</v>
      </c>
      <c r="B98" s="10" t="s">
        <v>195</v>
      </c>
      <c r="C98" s="10" t="str">
        <f t="shared" si="1"/>
        <v>15</v>
      </c>
      <c r="D98" s="12" t="s">
        <v>46</v>
      </c>
      <c r="E98" s="12">
        <v>8.27</v>
      </c>
      <c r="F98" s="12">
        <v>78.37</v>
      </c>
      <c r="G98" s="12">
        <v>48731000</v>
      </c>
      <c r="H98" s="12">
        <v>10.49</v>
      </c>
      <c r="I98" s="8">
        <v>606200</v>
      </c>
      <c r="J9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9" spans="1:10" x14ac:dyDescent="0.3">
      <c r="A99" s="10">
        <v>1572</v>
      </c>
      <c r="B99" s="10" t="s">
        <v>196</v>
      </c>
      <c r="C99" s="10" t="str">
        <f t="shared" si="1"/>
        <v>15</v>
      </c>
      <c r="D99" s="12" t="s">
        <v>46</v>
      </c>
      <c r="E99" s="12">
        <v>3.03</v>
      </c>
      <c r="F99" s="12">
        <v>75.42</v>
      </c>
      <c r="G99" s="12">
        <v>78535000</v>
      </c>
      <c r="H99" s="12">
        <v>5.56</v>
      </c>
      <c r="I99" s="8">
        <v>96610</v>
      </c>
      <c r="J9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0" spans="1:10" x14ac:dyDescent="0.3">
      <c r="A100" s="10">
        <v>1601</v>
      </c>
      <c r="B100" s="10" t="s">
        <v>197</v>
      </c>
      <c r="C100" s="10" t="str">
        <f t="shared" si="1"/>
        <v>16</v>
      </c>
      <c r="D100" s="12" t="s">
        <v>47</v>
      </c>
      <c r="E100" s="12">
        <v>12.75</v>
      </c>
      <c r="F100" s="12">
        <v>69.319999999999993</v>
      </c>
      <c r="G100" s="12">
        <v>40413000</v>
      </c>
      <c r="H100" s="12">
        <v>6.01</v>
      </c>
      <c r="I100" s="8">
        <v>367603</v>
      </c>
      <c r="J10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1" spans="1:10" x14ac:dyDescent="0.3">
      <c r="A101" s="10">
        <v>1602</v>
      </c>
      <c r="B101" s="10" t="s">
        <v>198</v>
      </c>
      <c r="C101" s="10" t="str">
        <f t="shared" si="1"/>
        <v>16</v>
      </c>
      <c r="D101" s="12" t="s">
        <v>47</v>
      </c>
      <c r="E101" s="12">
        <v>14.73</v>
      </c>
      <c r="F101" s="12">
        <v>66.819999999999993</v>
      </c>
      <c r="G101" s="12">
        <v>38113000</v>
      </c>
      <c r="H101" s="12">
        <v>3.29</v>
      </c>
      <c r="I101" s="8">
        <v>769348</v>
      </c>
      <c r="J10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2" spans="1:10" x14ac:dyDescent="0.3">
      <c r="A102" s="10">
        <v>1603</v>
      </c>
      <c r="B102" s="10" t="s">
        <v>199</v>
      </c>
      <c r="C102" s="10" t="str">
        <f t="shared" si="1"/>
        <v>16</v>
      </c>
      <c r="D102" s="12" t="s">
        <v>47</v>
      </c>
      <c r="E102" s="12">
        <v>12.32</v>
      </c>
      <c r="F102" s="12">
        <v>68.739999999999995</v>
      </c>
      <c r="G102" s="12">
        <v>94017000</v>
      </c>
      <c r="H102" s="12">
        <v>4.9000000000000004</v>
      </c>
      <c r="I102" s="8">
        <v>612900</v>
      </c>
      <c r="J10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3" spans="1:10" x14ac:dyDescent="0.3">
      <c r="A103" s="10">
        <v>1604</v>
      </c>
      <c r="B103" s="10" t="s">
        <v>200</v>
      </c>
      <c r="C103" s="10" t="str">
        <f t="shared" si="1"/>
        <v>16</v>
      </c>
      <c r="D103" s="12" t="s">
        <v>47</v>
      </c>
      <c r="E103" s="12">
        <v>15.95</v>
      </c>
      <c r="F103" s="12">
        <v>67.44</v>
      </c>
      <c r="G103" s="12">
        <v>40199000</v>
      </c>
      <c r="H103" s="12">
        <v>4.18</v>
      </c>
      <c r="I103" s="8">
        <v>430071</v>
      </c>
      <c r="J10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4" spans="1:10" x14ac:dyDescent="0.3">
      <c r="A104" s="10">
        <v>1605</v>
      </c>
      <c r="B104" s="10" t="s">
        <v>201</v>
      </c>
      <c r="C104" s="10" t="str">
        <f t="shared" si="1"/>
        <v>16</v>
      </c>
      <c r="D104" s="12" t="s">
        <v>47</v>
      </c>
      <c r="E104" s="12">
        <v>13.5</v>
      </c>
      <c r="F104" s="12">
        <v>66.790000000000006</v>
      </c>
      <c r="G104" s="12">
        <v>48740000</v>
      </c>
      <c r="H104" s="12">
        <v>3.29</v>
      </c>
      <c r="I104" s="8">
        <v>395570</v>
      </c>
      <c r="J10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5" spans="1:10" x14ac:dyDescent="0.3">
      <c r="A105" s="10">
        <v>1606</v>
      </c>
      <c r="B105" s="10" t="s">
        <v>202</v>
      </c>
      <c r="C105" s="10" t="str">
        <f t="shared" si="1"/>
        <v>16</v>
      </c>
      <c r="D105" s="12" t="s">
        <v>47</v>
      </c>
      <c r="E105" s="12">
        <v>16.13</v>
      </c>
      <c r="F105" s="12">
        <v>67.69</v>
      </c>
      <c r="G105" s="12">
        <v>106214000</v>
      </c>
      <c r="H105" s="12">
        <v>4.79</v>
      </c>
      <c r="I105" s="8">
        <v>622206</v>
      </c>
      <c r="J10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6" spans="1:10" x14ac:dyDescent="0.3">
      <c r="A106" s="10">
        <v>1607</v>
      </c>
      <c r="B106" s="10" t="s">
        <v>203</v>
      </c>
      <c r="C106" s="10" t="str">
        <f t="shared" si="1"/>
        <v>16</v>
      </c>
      <c r="D106" s="12" t="s">
        <v>47</v>
      </c>
      <c r="E106" s="12">
        <v>11.17</v>
      </c>
      <c r="F106" s="12">
        <v>66.739999999999995</v>
      </c>
      <c r="G106" s="12">
        <v>34853000</v>
      </c>
      <c r="H106" s="12">
        <v>4.7300000000000004</v>
      </c>
      <c r="I106" s="8">
        <v>836914</v>
      </c>
      <c r="J10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7" spans="1:10" x14ac:dyDescent="0.3">
      <c r="A107" s="10">
        <v>1608</v>
      </c>
      <c r="B107" s="10" t="s">
        <v>204</v>
      </c>
      <c r="C107" s="10" t="str">
        <f t="shared" si="1"/>
        <v>16</v>
      </c>
      <c r="D107" s="12" t="s">
        <v>47</v>
      </c>
      <c r="E107" s="12">
        <v>10.85</v>
      </c>
      <c r="F107" s="12">
        <v>65.3</v>
      </c>
      <c r="G107" s="12">
        <v>22066000</v>
      </c>
      <c r="H107" s="12">
        <v>3.28</v>
      </c>
      <c r="I107" s="8">
        <v>408981</v>
      </c>
      <c r="J10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8" spans="1:10" x14ac:dyDescent="0.3">
      <c r="A108" s="10">
        <v>1609</v>
      </c>
      <c r="B108" s="10" t="s">
        <v>205</v>
      </c>
      <c r="C108" s="10" t="str">
        <f t="shared" si="1"/>
        <v>16</v>
      </c>
      <c r="D108" s="12" t="s">
        <v>47</v>
      </c>
      <c r="E108" s="12">
        <v>10.43</v>
      </c>
      <c r="F108" s="12">
        <v>69.28</v>
      </c>
      <c r="G108" s="12">
        <v>23545000</v>
      </c>
      <c r="H108" s="12">
        <v>3.81</v>
      </c>
      <c r="I108" s="8">
        <v>649853</v>
      </c>
      <c r="J10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9" spans="1:10" x14ac:dyDescent="0.3">
      <c r="A109" s="10">
        <v>1610</v>
      </c>
      <c r="B109" s="10" t="s">
        <v>206</v>
      </c>
      <c r="C109" s="10" t="str">
        <f t="shared" si="1"/>
        <v>16</v>
      </c>
      <c r="D109" s="12" t="s">
        <v>47</v>
      </c>
      <c r="E109" s="12">
        <v>13.36</v>
      </c>
      <c r="F109" s="12">
        <v>67.06</v>
      </c>
      <c r="G109" s="12">
        <v>27246000</v>
      </c>
      <c r="H109" s="12">
        <v>4.91</v>
      </c>
      <c r="I109" s="8">
        <v>416549</v>
      </c>
      <c r="J10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0" spans="1:10" x14ac:dyDescent="0.3">
      <c r="A110" s="10">
        <v>1611</v>
      </c>
      <c r="B110" s="10" t="s">
        <v>207</v>
      </c>
      <c r="C110" s="10" t="str">
        <f t="shared" si="1"/>
        <v>16</v>
      </c>
      <c r="D110" s="12" t="s">
        <v>47</v>
      </c>
      <c r="E110" s="12">
        <v>12.63</v>
      </c>
      <c r="F110" s="12">
        <v>65.25</v>
      </c>
      <c r="G110" s="12">
        <v>15393000</v>
      </c>
      <c r="H110" s="12">
        <v>3.61</v>
      </c>
      <c r="I110" s="8">
        <v>333622</v>
      </c>
      <c r="J11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1" spans="1:10" x14ac:dyDescent="0.3">
      <c r="A111" s="10">
        <v>1612</v>
      </c>
      <c r="B111" s="10" t="s">
        <v>208</v>
      </c>
      <c r="C111" s="10" t="str">
        <f t="shared" si="1"/>
        <v>16</v>
      </c>
      <c r="D111" s="12" t="s">
        <v>47</v>
      </c>
      <c r="E111" s="12">
        <v>12.62</v>
      </c>
      <c r="F111" s="12">
        <v>64.7</v>
      </c>
      <c r="G111" s="12">
        <v>36716000</v>
      </c>
      <c r="H111" s="12">
        <v>3.74</v>
      </c>
      <c r="I111" s="8">
        <v>194900</v>
      </c>
      <c r="J11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2" spans="1:10" x14ac:dyDescent="0.3">
      <c r="A112" s="10">
        <v>1613</v>
      </c>
      <c r="B112" s="10" t="s">
        <v>209</v>
      </c>
      <c r="C112" s="10" t="str">
        <f t="shared" si="1"/>
        <v>16</v>
      </c>
      <c r="D112" s="12" t="s">
        <v>47</v>
      </c>
      <c r="E112" s="12">
        <v>19.47</v>
      </c>
      <c r="F112" s="12">
        <v>64.489999999999995</v>
      </c>
      <c r="G112" s="12">
        <v>38180000</v>
      </c>
      <c r="H112" s="12">
        <v>6.88</v>
      </c>
      <c r="I112" s="8">
        <v>188861</v>
      </c>
      <c r="J11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3" spans="1:10" x14ac:dyDescent="0.3">
      <c r="A113" s="10">
        <v>1671</v>
      </c>
      <c r="B113" s="10" t="s">
        <v>210</v>
      </c>
      <c r="C113" s="10" t="str">
        <f t="shared" si="1"/>
        <v>16</v>
      </c>
      <c r="D113" s="12" t="s">
        <v>47</v>
      </c>
      <c r="E113" s="12">
        <v>10.89</v>
      </c>
      <c r="F113" s="12">
        <v>78.33</v>
      </c>
      <c r="G113" s="12">
        <v>93281000</v>
      </c>
      <c r="H113" s="12">
        <v>9.86</v>
      </c>
      <c r="I113" s="8">
        <v>1668848</v>
      </c>
      <c r="J11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4" spans="1:10" x14ac:dyDescent="0.3">
      <c r="A114" s="10">
        <v>1672</v>
      </c>
      <c r="B114" s="10" t="s">
        <v>211</v>
      </c>
      <c r="C114" s="10" t="str">
        <f t="shared" si="1"/>
        <v>16</v>
      </c>
      <c r="D114" s="12" t="s">
        <v>47</v>
      </c>
      <c r="E114" s="12">
        <v>11.59</v>
      </c>
      <c r="F114" s="12">
        <v>74.55</v>
      </c>
      <c r="G114" s="12">
        <v>40885000</v>
      </c>
      <c r="H114" s="12">
        <v>6.64</v>
      </c>
      <c r="I114" s="8">
        <v>193196</v>
      </c>
      <c r="J11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5" spans="1:10" x14ac:dyDescent="0.3">
      <c r="A115" s="10">
        <v>1673</v>
      </c>
      <c r="B115" s="10" t="s">
        <v>212</v>
      </c>
      <c r="C115" s="10" t="str">
        <f t="shared" si="1"/>
        <v>16</v>
      </c>
      <c r="D115" s="12" t="s">
        <v>47</v>
      </c>
      <c r="E115" s="12">
        <v>9.07</v>
      </c>
      <c r="F115" s="12">
        <v>68.31</v>
      </c>
      <c r="G115" s="12">
        <v>19733000</v>
      </c>
      <c r="H115" s="12">
        <v>2.5</v>
      </c>
      <c r="I115" s="8">
        <v>143844</v>
      </c>
      <c r="J11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6" spans="1:10" x14ac:dyDescent="0.3">
      <c r="A116" s="10">
        <v>1674</v>
      </c>
      <c r="B116" s="10" t="s">
        <v>213</v>
      </c>
      <c r="C116" s="10" t="str">
        <f t="shared" si="1"/>
        <v>16</v>
      </c>
      <c r="D116" s="12" t="s">
        <v>47</v>
      </c>
      <c r="E116" s="12">
        <v>12.71</v>
      </c>
      <c r="F116" s="12">
        <v>74.78</v>
      </c>
      <c r="G116" s="12">
        <v>28786000</v>
      </c>
      <c r="H116" s="12">
        <v>7.41</v>
      </c>
      <c r="I116" s="8">
        <v>234166</v>
      </c>
      <c r="J11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7" spans="1:10" x14ac:dyDescent="0.3">
      <c r="A117" s="10">
        <v>1701</v>
      </c>
      <c r="B117" s="10" t="s">
        <v>214</v>
      </c>
      <c r="C117" s="10" t="str">
        <f t="shared" si="1"/>
        <v>17</v>
      </c>
      <c r="D117" s="12" t="s">
        <v>48</v>
      </c>
      <c r="E117" s="12">
        <v>17.82</v>
      </c>
      <c r="F117" s="12">
        <v>70.63</v>
      </c>
      <c r="G117" s="12">
        <v>35090000</v>
      </c>
      <c r="H117" s="12">
        <v>3.52</v>
      </c>
      <c r="I117" s="8">
        <v>166249</v>
      </c>
      <c r="J11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8" spans="1:10" x14ac:dyDescent="0.3">
      <c r="A118" s="10">
        <v>1702</v>
      </c>
      <c r="B118" s="10" t="s">
        <v>215</v>
      </c>
      <c r="C118" s="10" t="str">
        <f t="shared" si="1"/>
        <v>17</v>
      </c>
      <c r="D118" s="12" t="s">
        <v>48</v>
      </c>
      <c r="E118" s="12">
        <v>15.85</v>
      </c>
      <c r="F118" s="12">
        <v>70.44</v>
      </c>
      <c r="G118" s="12">
        <v>34525000</v>
      </c>
      <c r="H118" s="12">
        <v>3.7</v>
      </c>
      <c r="I118" s="8">
        <v>276645</v>
      </c>
      <c r="J11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9" spans="1:10" x14ac:dyDescent="0.3">
      <c r="A119" s="10">
        <v>1703</v>
      </c>
      <c r="B119" s="10" t="s">
        <v>216</v>
      </c>
      <c r="C119" s="10" t="str">
        <f t="shared" si="1"/>
        <v>17</v>
      </c>
      <c r="D119" s="12" t="s">
        <v>48</v>
      </c>
      <c r="E119" s="12">
        <v>11.67</v>
      </c>
      <c r="F119" s="12">
        <v>68.819999999999993</v>
      </c>
      <c r="G119" s="12">
        <v>28443000</v>
      </c>
      <c r="H119" s="12">
        <v>3.82</v>
      </c>
      <c r="I119" s="8">
        <v>296523</v>
      </c>
      <c r="J11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0" spans="1:10" x14ac:dyDescent="0.3">
      <c r="A120" s="10">
        <v>1704</v>
      </c>
      <c r="B120" s="10" t="s">
        <v>217</v>
      </c>
      <c r="C120" s="10" t="str">
        <f t="shared" si="1"/>
        <v>17</v>
      </c>
      <c r="D120" s="12" t="s">
        <v>48</v>
      </c>
      <c r="E120" s="12">
        <v>18.47</v>
      </c>
      <c r="F120" s="12">
        <v>66.989999999999995</v>
      </c>
      <c r="G120" s="12">
        <v>28618000</v>
      </c>
      <c r="H120" s="12">
        <v>2.73</v>
      </c>
      <c r="I120" s="8">
        <v>126551</v>
      </c>
      <c r="J12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1" spans="1:10" x14ac:dyDescent="0.3">
      <c r="A121" s="10">
        <v>1705</v>
      </c>
      <c r="B121" s="10" t="s">
        <v>218</v>
      </c>
      <c r="C121" s="10" t="str">
        <f t="shared" si="1"/>
        <v>17</v>
      </c>
      <c r="D121" s="12" t="s">
        <v>48</v>
      </c>
      <c r="E121" s="12">
        <v>18.559999999999999</v>
      </c>
      <c r="F121" s="12">
        <v>66.89</v>
      </c>
      <c r="G121" s="12">
        <v>22827000</v>
      </c>
      <c r="H121" s="12">
        <v>3.04</v>
      </c>
      <c r="I121" s="8">
        <v>207877</v>
      </c>
      <c r="J12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2" spans="1:10" x14ac:dyDescent="0.3">
      <c r="A122" s="10">
        <v>1706</v>
      </c>
      <c r="B122" s="10" t="s">
        <v>219</v>
      </c>
      <c r="C122" s="10" t="str">
        <f t="shared" si="1"/>
        <v>17</v>
      </c>
      <c r="D122" s="12" t="s">
        <v>48</v>
      </c>
      <c r="E122" s="12">
        <v>11.72</v>
      </c>
      <c r="F122" s="12">
        <v>68.45</v>
      </c>
      <c r="G122" s="12">
        <v>27749000</v>
      </c>
      <c r="H122" s="12">
        <v>3.59</v>
      </c>
      <c r="I122" s="8">
        <v>190498</v>
      </c>
      <c r="J12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3" spans="1:10" x14ac:dyDescent="0.3">
      <c r="A123" s="10">
        <v>1707</v>
      </c>
      <c r="B123" s="10" t="s">
        <v>220</v>
      </c>
      <c r="C123" s="10" t="str">
        <f t="shared" si="1"/>
        <v>17</v>
      </c>
      <c r="D123" s="12" t="s">
        <v>48</v>
      </c>
      <c r="E123" s="12">
        <v>11.85</v>
      </c>
      <c r="F123" s="12">
        <v>67.010000000000005</v>
      </c>
      <c r="G123" s="12">
        <v>32006000</v>
      </c>
      <c r="H123" s="12">
        <v>3.92</v>
      </c>
      <c r="I123" s="8">
        <v>106293</v>
      </c>
      <c r="J12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4" spans="1:10" x14ac:dyDescent="0.3">
      <c r="A124" s="10">
        <v>1708</v>
      </c>
      <c r="B124" s="10" t="s">
        <v>221</v>
      </c>
      <c r="C124" s="10" t="str">
        <f t="shared" si="1"/>
        <v>17</v>
      </c>
      <c r="D124" s="12" t="s">
        <v>48</v>
      </c>
      <c r="E124" s="12">
        <v>14.69</v>
      </c>
      <c r="F124" s="12">
        <v>68.17</v>
      </c>
      <c r="G124" s="12">
        <v>29543000</v>
      </c>
      <c r="H124" s="12">
        <v>2.52</v>
      </c>
      <c r="I124" s="8">
        <v>149737</v>
      </c>
      <c r="J12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5" spans="1:10" x14ac:dyDescent="0.3">
      <c r="A125" s="10">
        <v>1709</v>
      </c>
      <c r="B125" s="10" t="s">
        <v>222</v>
      </c>
      <c r="C125" s="10" t="str">
        <f t="shared" si="1"/>
        <v>17</v>
      </c>
      <c r="D125" s="12" t="s">
        <v>48</v>
      </c>
      <c r="E125" s="12">
        <v>9.3000000000000007</v>
      </c>
      <c r="F125" s="12">
        <v>67.61</v>
      </c>
      <c r="G125" s="12">
        <v>40149000</v>
      </c>
      <c r="H125" s="12">
        <v>4.45</v>
      </c>
      <c r="I125" s="8">
        <v>116706</v>
      </c>
      <c r="J12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6" spans="1:10" x14ac:dyDescent="0.3">
      <c r="A126" s="10">
        <v>1771</v>
      </c>
      <c r="B126" s="10" t="s">
        <v>223</v>
      </c>
      <c r="C126" s="10" t="str">
        <f t="shared" si="1"/>
        <v>17</v>
      </c>
      <c r="D126" s="12" t="s">
        <v>48</v>
      </c>
      <c r="E126" s="12">
        <v>17.649999999999999</v>
      </c>
      <c r="F126" s="12">
        <v>80.36</v>
      </c>
      <c r="G126" s="12">
        <v>63112000</v>
      </c>
      <c r="H126" s="12">
        <v>6.82</v>
      </c>
      <c r="I126" s="8">
        <v>373591</v>
      </c>
      <c r="J12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7" spans="1:10" x14ac:dyDescent="0.3">
      <c r="A127" s="10">
        <v>1801</v>
      </c>
      <c r="B127" s="10" t="s">
        <v>224</v>
      </c>
      <c r="C127" s="10" t="str">
        <f t="shared" si="1"/>
        <v>18</v>
      </c>
      <c r="D127" s="12" t="s">
        <v>49</v>
      </c>
      <c r="E127" s="12">
        <v>12.52</v>
      </c>
      <c r="F127" s="12">
        <v>67.8</v>
      </c>
      <c r="G127" s="12">
        <v>23615000</v>
      </c>
      <c r="H127" s="12">
        <v>2.13</v>
      </c>
      <c r="I127" s="8">
        <v>302139</v>
      </c>
      <c r="J12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8" spans="1:10" x14ac:dyDescent="0.3">
      <c r="A128" s="10">
        <v>1802</v>
      </c>
      <c r="B128" s="10" t="s">
        <v>225</v>
      </c>
      <c r="C128" s="10" t="str">
        <f t="shared" si="1"/>
        <v>18</v>
      </c>
      <c r="D128" s="12" t="s">
        <v>49</v>
      </c>
      <c r="E128" s="12">
        <v>11.68</v>
      </c>
      <c r="F128" s="12">
        <v>66.42</v>
      </c>
      <c r="G128" s="12">
        <v>24223000</v>
      </c>
      <c r="H128" s="12">
        <v>2.96</v>
      </c>
      <c r="I128" s="8">
        <v>640275</v>
      </c>
      <c r="J12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9" spans="1:10" x14ac:dyDescent="0.3">
      <c r="A129" s="10">
        <v>1803</v>
      </c>
      <c r="B129" s="10" t="s">
        <v>226</v>
      </c>
      <c r="C129" s="10" t="str">
        <f t="shared" si="1"/>
        <v>18</v>
      </c>
      <c r="D129" s="12" t="s">
        <v>49</v>
      </c>
      <c r="E129" s="12">
        <v>14.08</v>
      </c>
      <c r="F129" s="12">
        <v>68.36</v>
      </c>
      <c r="G129" s="12">
        <v>41705000</v>
      </c>
      <c r="H129" s="12">
        <v>5.19</v>
      </c>
      <c r="I129" s="8">
        <v>1064301</v>
      </c>
      <c r="J12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0" spans="1:10" x14ac:dyDescent="0.3">
      <c r="A130" s="10">
        <v>1804</v>
      </c>
      <c r="B130" s="10" t="s">
        <v>227</v>
      </c>
      <c r="C130" s="10" t="str">
        <f t="shared" ref="C130:C193" si="2">LEFT(A130,2)</f>
        <v>18</v>
      </c>
      <c r="D130" s="12" t="s">
        <v>49</v>
      </c>
      <c r="E130" s="12">
        <v>14.62</v>
      </c>
      <c r="F130" s="12">
        <v>69.37</v>
      </c>
      <c r="G130" s="12">
        <v>36709000</v>
      </c>
      <c r="H130" s="12">
        <v>2.64</v>
      </c>
      <c r="I130" s="8">
        <v>1110340</v>
      </c>
      <c r="J13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1" spans="1:10" x14ac:dyDescent="0.3">
      <c r="A131" s="10">
        <v>1805</v>
      </c>
      <c r="B131" s="10" t="s">
        <v>228</v>
      </c>
      <c r="C131" s="10" t="str">
        <f t="shared" si="2"/>
        <v>18</v>
      </c>
      <c r="D131" s="12" t="s">
        <v>49</v>
      </c>
      <c r="E131" s="12">
        <v>11.82</v>
      </c>
      <c r="F131" s="12">
        <v>70.16</v>
      </c>
      <c r="G131" s="12">
        <v>48862000</v>
      </c>
      <c r="H131" s="12">
        <v>4.22</v>
      </c>
      <c r="I131" s="8">
        <v>1460045</v>
      </c>
      <c r="J13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2" spans="1:10" x14ac:dyDescent="0.3">
      <c r="A132" s="10">
        <v>1806</v>
      </c>
      <c r="B132" s="10" t="s">
        <v>229</v>
      </c>
      <c r="C132" s="10" t="str">
        <f t="shared" si="2"/>
        <v>18</v>
      </c>
      <c r="D132" s="12" t="s">
        <v>49</v>
      </c>
      <c r="E132" s="12">
        <v>19.3</v>
      </c>
      <c r="F132" s="12">
        <v>67.67</v>
      </c>
      <c r="G132" s="12">
        <v>37550000</v>
      </c>
      <c r="H132" s="12">
        <v>5.34</v>
      </c>
      <c r="I132" s="8">
        <v>633099</v>
      </c>
      <c r="J13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3" spans="1:10" x14ac:dyDescent="0.3">
      <c r="A133" s="10">
        <v>1807</v>
      </c>
      <c r="B133" s="10" t="s">
        <v>230</v>
      </c>
      <c r="C133" s="10" t="str">
        <f t="shared" si="2"/>
        <v>18</v>
      </c>
      <c r="D133" s="12" t="s">
        <v>49</v>
      </c>
      <c r="E133" s="12">
        <v>12.9</v>
      </c>
      <c r="F133" s="12">
        <v>67.44</v>
      </c>
      <c r="G133" s="12">
        <v>29594000</v>
      </c>
      <c r="H133" s="12">
        <v>3.56</v>
      </c>
      <c r="I133" s="8">
        <v>473575</v>
      </c>
      <c r="J13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4" spans="1:10" x14ac:dyDescent="0.3">
      <c r="A134" s="10">
        <v>1808</v>
      </c>
      <c r="B134" s="10" t="s">
        <v>231</v>
      </c>
      <c r="C134" s="10" t="str">
        <f t="shared" si="2"/>
        <v>18</v>
      </c>
      <c r="D134" s="12" t="s">
        <v>49</v>
      </c>
      <c r="E134" s="12">
        <v>9.33</v>
      </c>
      <c r="F134" s="12">
        <v>68.52</v>
      </c>
      <c r="G134" s="12">
        <v>53689000</v>
      </c>
      <c r="H134" s="12">
        <v>4.84</v>
      </c>
      <c r="I134" s="8">
        <v>430021</v>
      </c>
      <c r="J13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5" spans="1:10" x14ac:dyDescent="0.3">
      <c r="A135" s="10">
        <v>1809</v>
      </c>
      <c r="B135" s="10" t="s">
        <v>232</v>
      </c>
      <c r="C135" s="10" t="str">
        <f t="shared" si="2"/>
        <v>18</v>
      </c>
      <c r="D135" s="12" t="s">
        <v>49</v>
      </c>
      <c r="E135" s="12">
        <v>14.76</v>
      </c>
      <c r="F135" s="12">
        <v>65.790000000000006</v>
      </c>
      <c r="G135" s="12">
        <v>34047000</v>
      </c>
      <c r="H135" s="12">
        <v>4.6399999999999997</v>
      </c>
      <c r="I135" s="8">
        <v>477468</v>
      </c>
      <c r="J13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6" spans="1:10" x14ac:dyDescent="0.3">
      <c r="A136" s="10">
        <v>1810</v>
      </c>
      <c r="B136" s="10" t="s">
        <v>233</v>
      </c>
      <c r="C136" s="10" t="str">
        <f t="shared" si="2"/>
        <v>18</v>
      </c>
      <c r="D136" s="12" t="s">
        <v>49</v>
      </c>
      <c r="E136" s="12">
        <v>9.9700000000000006</v>
      </c>
      <c r="F136" s="12">
        <v>70.3</v>
      </c>
      <c r="G136" s="12">
        <v>27563000</v>
      </c>
      <c r="H136" s="12">
        <v>5.77</v>
      </c>
      <c r="I136" s="8">
        <v>405466</v>
      </c>
      <c r="J13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7" spans="1:10" x14ac:dyDescent="0.3">
      <c r="A137" s="10">
        <v>1811</v>
      </c>
      <c r="B137" s="10" t="s">
        <v>234</v>
      </c>
      <c r="C137" s="10" t="str">
        <f t="shared" si="2"/>
        <v>18</v>
      </c>
      <c r="D137" s="12" t="s">
        <v>49</v>
      </c>
      <c r="E137" s="12">
        <v>7.33</v>
      </c>
      <c r="F137" s="12">
        <v>63.63</v>
      </c>
      <c r="G137" s="12">
        <v>45812000</v>
      </c>
      <c r="H137" s="12">
        <v>3.71</v>
      </c>
      <c r="I137" s="8">
        <v>227518</v>
      </c>
      <c r="J13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8" spans="1:10" x14ac:dyDescent="0.3">
      <c r="A138" s="10">
        <v>1812</v>
      </c>
      <c r="B138" s="10" t="s">
        <v>235</v>
      </c>
      <c r="C138" s="10" t="str">
        <f t="shared" si="2"/>
        <v>18</v>
      </c>
      <c r="D138" s="12" t="s">
        <v>49</v>
      </c>
      <c r="E138" s="12">
        <v>7.39</v>
      </c>
      <c r="F138" s="12">
        <v>65.97</v>
      </c>
      <c r="G138" s="12">
        <v>39972000</v>
      </c>
      <c r="H138" s="12">
        <v>3.46</v>
      </c>
      <c r="I138" s="8">
        <v>286162</v>
      </c>
      <c r="J13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9" spans="1:10" x14ac:dyDescent="0.3">
      <c r="A139" s="10">
        <v>1813</v>
      </c>
      <c r="B139" s="10" t="s">
        <v>236</v>
      </c>
      <c r="C139" s="10" t="str">
        <f t="shared" si="2"/>
        <v>18</v>
      </c>
      <c r="D139" s="12" t="s">
        <v>49</v>
      </c>
      <c r="E139" s="12">
        <v>14.29</v>
      </c>
      <c r="F139" s="12">
        <v>63.91</v>
      </c>
      <c r="G139" s="12">
        <v>28799000</v>
      </c>
      <c r="H139" s="12">
        <v>3.41</v>
      </c>
      <c r="I139" s="8">
        <v>162697</v>
      </c>
      <c r="J13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0" spans="1:10" x14ac:dyDescent="0.3">
      <c r="A140" s="10">
        <v>1871</v>
      </c>
      <c r="B140" s="10" t="s">
        <v>237</v>
      </c>
      <c r="C140" s="10" t="str">
        <f t="shared" si="2"/>
        <v>18</v>
      </c>
      <c r="D140" s="12" t="s">
        <v>49</v>
      </c>
      <c r="E140" s="12">
        <v>8.81</v>
      </c>
      <c r="F140" s="12">
        <v>77.44</v>
      </c>
      <c r="G140" s="12">
        <v>50753000</v>
      </c>
      <c r="H140" s="12">
        <v>8.7899999999999991</v>
      </c>
      <c r="I140" s="8">
        <v>1166066</v>
      </c>
      <c r="J14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1" spans="1:10" x14ac:dyDescent="0.3">
      <c r="A141" s="10">
        <v>1872</v>
      </c>
      <c r="B141" s="10" t="s">
        <v>238</v>
      </c>
      <c r="C141" s="10" t="str">
        <f t="shared" si="2"/>
        <v>18</v>
      </c>
      <c r="D141" s="12" t="s">
        <v>49</v>
      </c>
      <c r="E141" s="12">
        <v>8.4700000000000006</v>
      </c>
      <c r="F141" s="12">
        <v>77.19</v>
      </c>
      <c r="G141" s="12">
        <v>37361000</v>
      </c>
      <c r="H141" s="12">
        <v>5.4</v>
      </c>
      <c r="I141" s="8">
        <v>168676</v>
      </c>
      <c r="J14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2" spans="1:10" x14ac:dyDescent="0.3">
      <c r="A142" s="10">
        <v>1901</v>
      </c>
      <c r="B142" s="10" t="s">
        <v>239</v>
      </c>
      <c r="C142" s="10" t="str">
        <f t="shared" si="2"/>
        <v>19</v>
      </c>
      <c r="D142" s="1" t="s">
        <v>50</v>
      </c>
      <c r="E142" s="12">
        <v>4.51</v>
      </c>
      <c r="F142" s="12">
        <v>72.400000000000006</v>
      </c>
      <c r="G142" s="12">
        <v>42811000</v>
      </c>
      <c r="H142" s="12">
        <v>5.42</v>
      </c>
      <c r="I142" s="8">
        <v>326265</v>
      </c>
      <c r="J14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3" spans="1:10" x14ac:dyDescent="0.3">
      <c r="A143" s="10">
        <v>1902</v>
      </c>
      <c r="B143" s="10" t="s">
        <v>240</v>
      </c>
      <c r="C143" s="10" t="str">
        <f t="shared" si="2"/>
        <v>19</v>
      </c>
      <c r="D143" s="1" t="s">
        <v>50</v>
      </c>
      <c r="E143" s="12">
        <v>6.27</v>
      </c>
      <c r="F143" s="12">
        <v>72.510000000000005</v>
      </c>
      <c r="G143" s="12">
        <v>54093000</v>
      </c>
      <c r="H143" s="12">
        <v>4.82</v>
      </c>
      <c r="I143" s="8">
        <v>182079</v>
      </c>
      <c r="J14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4" spans="1:10" x14ac:dyDescent="0.3">
      <c r="A144" s="10">
        <v>1903</v>
      </c>
      <c r="B144" s="10" t="s">
        <v>241</v>
      </c>
      <c r="C144" s="10" t="str">
        <f t="shared" si="2"/>
        <v>19</v>
      </c>
      <c r="D144" s="1" t="s">
        <v>50</v>
      </c>
      <c r="E144" s="12">
        <v>2.7</v>
      </c>
      <c r="F144" s="12">
        <v>69.08</v>
      </c>
      <c r="G144" s="12">
        <v>65714000</v>
      </c>
      <c r="H144" s="12">
        <v>4.12</v>
      </c>
      <c r="I144" s="8">
        <v>204612</v>
      </c>
      <c r="J14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5" spans="1:10" x14ac:dyDescent="0.3">
      <c r="A145" s="10">
        <v>1904</v>
      </c>
      <c r="B145" s="10" t="s">
        <v>242</v>
      </c>
      <c r="C145" s="10" t="str">
        <f t="shared" si="2"/>
        <v>19</v>
      </c>
      <c r="D145" s="1" t="s">
        <v>50</v>
      </c>
      <c r="E145" s="12">
        <v>4.8499999999999996</v>
      </c>
      <c r="F145" s="12">
        <v>70.45</v>
      </c>
      <c r="G145" s="12">
        <v>42615000</v>
      </c>
      <c r="H145" s="12">
        <v>5.59</v>
      </c>
      <c r="I145" s="8">
        <v>198946</v>
      </c>
      <c r="J14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6" spans="1:10" x14ac:dyDescent="0.3">
      <c r="A146" s="10">
        <v>1905</v>
      </c>
      <c r="B146" s="10" t="s">
        <v>243</v>
      </c>
      <c r="C146" s="10" t="str">
        <f t="shared" si="2"/>
        <v>19</v>
      </c>
      <c r="D146" s="1" t="s">
        <v>50</v>
      </c>
      <c r="E146" s="12">
        <v>3.52</v>
      </c>
      <c r="F146" s="12">
        <v>66.900000000000006</v>
      </c>
      <c r="G146" s="12">
        <v>43874000</v>
      </c>
      <c r="H146" s="12">
        <v>5.42</v>
      </c>
      <c r="I146" s="8">
        <v>198189</v>
      </c>
      <c r="J14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7" spans="1:10" x14ac:dyDescent="0.3">
      <c r="A147" s="10">
        <v>1906</v>
      </c>
      <c r="B147" s="10" t="s">
        <v>244</v>
      </c>
      <c r="C147" s="10" t="str">
        <f t="shared" si="2"/>
        <v>19</v>
      </c>
      <c r="D147" s="1" t="s">
        <v>50</v>
      </c>
      <c r="E147" s="12">
        <v>6.52</v>
      </c>
      <c r="F147" s="12">
        <v>70.92</v>
      </c>
      <c r="G147" s="12">
        <v>61849000</v>
      </c>
      <c r="H147" s="12">
        <v>3.93</v>
      </c>
      <c r="I147" s="8">
        <v>127018</v>
      </c>
      <c r="J14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8" spans="1:10" x14ac:dyDescent="0.3">
      <c r="A148" s="10">
        <v>1971</v>
      </c>
      <c r="B148" s="10" t="s">
        <v>245</v>
      </c>
      <c r="C148" s="10" t="str">
        <f t="shared" si="2"/>
        <v>19</v>
      </c>
      <c r="D148" s="1" t="s">
        <v>50</v>
      </c>
      <c r="E148" s="12">
        <v>4.3600000000000003</v>
      </c>
      <c r="F148" s="12">
        <v>78.22</v>
      </c>
      <c r="G148" s="12">
        <v>61805000</v>
      </c>
      <c r="H148" s="12">
        <v>6.93</v>
      </c>
      <c r="I148" s="8">
        <v>218569</v>
      </c>
      <c r="J14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9" spans="1:10" x14ac:dyDescent="0.3">
      <c r="A149" s="10">
        <v>2101</v>
      </c>
      <c r="B149" s="10" t="s">
        <v>246</v>
      </c>
      <c r="C149" s="10" t="str">
        <f t="shared" si="2"/>
        <v>21</v>
      </c>
      <c r="D149" s="12" t="s">
        <v>51</v>
      </c>
      <c r="E149" s="12">
        <v>6.83</v>
      </c>
      <c r="F149" s="12">
        <v>71.44</v>
      </c>
      <c r="G149" s="12">
        <v>52641000</v>
      </c>
      <c r="H149" s="12">
        <v>8.36</v>
      </c>
      <c r="I149" s="8">
        <v>253457</v>
      </c>
      <c r="J14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0" spans="1:10" x14ac:dyDescent="0.3">
      <c r="A150" s="10">
        <v>2102</v>
      </c>
      <c r="B150" s="10" t="s">
        <v>247</v>
      </c>
      <c r="C150" s="10" t="str">
        <f t="shared" si="2"/>
        <v>21</v>
      </c>
      <c r="D150" s="12" t="s">
        <v>51</v>
      </c>
      <c r="E150" s="12">
        <v>6.36</v>
      </c>
      <c r="F150" s="12">
        <v>74.13</v>
      </c>
      <c r="G150" s="12">
        <v>130148000</v>
      </c>
      <c r="H150" s="12">
        <v>8.86</v>
      </c>
      <c r="I150" s="8">
        <v>159518</v>
      </c>
      <c r="J15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1" spans="1:10" x14ac:dyDescent="0.3">
      <c r="A151" s="10">
        <v>2103</v>
      </c>
      <c r="B151" s="10" t="s">
        <v>248</v>
      </c>
      <c r="C151" s="10" t="str">
        <f t="shared" si="2"/>
        <v>21</v>
      </c>
      <c r="D151" s="12" t="s">
        <v>51</v>
      </c>
      <c r="E151" s="12">
        <v>4.43</v>
      </c>
      <c r="F151" s="12">
        <v>72.72</v>
      </c>
      <c r="G151" s="12">
        <v>226337000</v>
      </c>
      <c r="H151" s="12">
        <v>4.0999999999999996</v>
      </c>
      <c r="I151" s="8">
        <v>81495</v>
      </c>
      <c r="J15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2" spans="1:10" x14ac:dyDescent="0.3">
      <c r="A152" s="10">
        <v>2104</v>
      </c>
      <c r="B152" s="10" t="s">
        <v>249</v>
      </c>
      <c r="C152" s="10" t="str">
        <f t="shared" si="2"/>
        <v>21</v>
      </c>
      <c r="D152" s="12" t="s">
        <v>51</v>
      </c>
      <c r="E152" s="12">
        <v>13.85</v>
      </c>
      <c r="F152" s="12">
        <v>65.290000000000006</v>
      </c>
      <c r="G152" s="12">
        <v>43577000</v>
      </c>
      <c r="H152" s="12">
        <v>4.41</v>
      </c>
      <c r="I152" s="8">
        <v>98633</v>
      </c>
      <c r="J15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3" spans="1:10" x14ac:dyDescent="0.3">
      <c r="A153" s="10">
        <v>2105</v>
      </c>
      <c r="B153" s="10" t="s">
        <v>250</v>
      </c>
      <c r="C153" s="10" t="str">
        <f t="shared" si="2"/>
        <v>21</v>
      </c>
      <c r="D153" s="12" t="s">
        <v>51</v>
      </c>
      <c r="E153" s="12">
        <v>6.56</v>
      </c>
      <c r="F153" s="12">
        <v>68.8</v>
      </c>
      <c r="G153" s="12">
        <v>306110000</v>
      </c>
      <c r="H153" s="12">
        <v>3.44</v>
      </c>
      <c r="I153" s="8">
        <v>47402</v>
      </c>
      <c r="J15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4" spans="1:10" x14ac:dyDescent="0.3">
      <c r="A154" s="10">
        <v>2171</v>
      </c>
      <c r="B154" s="10" t="s">
        <v>251</v>
      </c>
      <c r="C154" s="10" t="str">
        <f t="shared" si="2"/>
        <v>21</v>
      </c>
      <c r="D154" s="12" t="s">
        <v>51</v>
      </c>
      <c r="E154" s="12">
        <v>4.75</v>
      </c>
      <c r="F154" s="12">
        <v>81.11</v>
      </c>
      <c r="G154" s="12">
        <v>135402000</v>
      </c>
      <c r="H154" s="12">
        <v>11.79</v>
      </c>
      <c r="I154" s="8">
        <v>1196396</v>
      </c>
      <c r="J15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5" spans="1:10" x14ac:dyDescent="0.3">
      <c r="A155" s="10">
        <v>2172</v>
      </c>
      <c r="B155" s="10" t="s">
        <v>252</v>
      </c>
      <c r="C155" s="10" t="str">
        <f t="shared" si="2"/>
        <v>21</v>
      </c>
      <c r="D155" s="12" t="s">
        <v>51</v>
      </c>
      <c r="E155" s="12">
        <v>9.3699999999999992</v>
      </c>
      <c r="F155" s="12">
        <v>78.91</v>
      </c>
      <c r="G155" s="12">
        <v>86624000</v>
      </c>
      <c r="H155" s="12">
        <v>9.3000000000000007</v>
      </c>
      <c r="I155" s="8">
        <v>227663</v>
      </c>
      <c r="J15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6" spans="1:10" x14ac:dyDescent="0.3">
      <c r="A156" s="10">
        <v>3101</v>
      </c>
      <c r="B156" s="10" t="s">
        <v>253</v>
      </c>
      <c r="C156" s="10" t="str">
        <f t="shared" si="2"/>
        <v>31</v>
      </c>
      <c r="D156" s="1" t="s">
        <v>52</v>
      </c>
      <c r="E156" s="12">
        <v>14.87</v>
      </c>
      <c r="F156" s="12">
        <v>71.63</v>
      </c>
      <c r="G156" s="12">
        <v>232819000</v>
      </c>
      <c r="H156" s="12">
        <v>7.37</v>
      </c>
      <c r="I156" s="8">
        <v>27749</v>
      </c>
      <c r="J15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7" spans="1:10" x14ac:dyDescent="0.3">
      <c r="A157" s="10">
        <v>3171</v>
      </c>
      <c r="B157" s="10" t="s">
        <v>254</v>
      </c>
      <c r="C157" s="10" t="str">
        <f t="shared" si="2"/>
        <v>31</v>
      </c>
      <c r="D157" s="1" t="s">
        <v>52</v>
      </c>
      <c r="E157" s="12">
        <v>3.43</v>
      </c>
      <c r="F157" s="12">
        <v>84.72</v>
      </c>
      <c r="G157" s="12">
        <v>289552000</v>
      </c>
      <c r="H157" s="12">
        <v>10.79</v>
      </c>
      <c r="I157" s="8">
        <v>2226812</v>
      </c>
      <c r="J15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8" spans="1:10" x14ac:dyDescent="0.3">
      <c r="A158" s="10">
        <v>3172</v>
      </c>
      <c r="B158" s="10" t="s">
        <v>255</v>
      </c>
      <c r="C158" s="10" t="str">
        <f t="shared" si="2"/>
        <v>31</v>
      </c>
      <c r="D158" s="1" t="s">
        <v>52</v>
      </c>
      <c r="E158" s="12">
        <v>4.16</v>
      </c>
      <c r="F158" s="12">
        <v>82.66</v>
      </c>
      <c r="G158" s="12">
        <v>155207000</v>
      </c>
      <c r="H158" s="12">
        <v>9.2899999999999991</v>
      </c>
      <c r="I158" s="8">
        <v>3037139</v>
      </c>
      <c r="J15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9" spans="1:10" x14ac:dyDescent="0.3">
      <c r="A159" s="10">
        <v>3173</v>
      </c>
      <c r="B159" s="10" t="s">
        <v>256</v>
      </c>
      <c r="C159" s="10" t="str">
        <f t="shared" si="2"/>
        <v>31</v>
      </c>
      <c r="D159" s="1" t="s">
        <v>52</v>
      </c>
      <c r="E159" s="12">
        <v>4.51</v>
      </c>
      <c r="F159" s="12">
        <v>81.39</v>
      </c>
      <c r="G159" s="12">
        <v>665645000</v>
      </c>
      <c r="H159" s="12">
        <v>10.97</v>
      </c>
      <c r="I159" s="8">
        <v>1056896</v>
      </c>
      <c r="J15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0" spans="1:10" x14ac:dyDescent="0.3">
      <c r="A160" s="10">
        <v>3174</v>
      </c>
      <c r="B160" s="10" t="s">
        <v>257</v>
      </c>
      <c r="C160" s="10" t="str">
        <f t="shared" si="2"/>
        <v>31</v>
      </c>
      <c r="D160" s="1" t="s">
        <v>52</v>
      </c>
      <c r="E160" s="12">
        <v>4.25</v>
      </c>
      <c r="F160" s="12">
        <v>81.38</v>
      </c>
      <c r="G160" s="12">
        <v>192975000</v>
      </c>
      <c r="H160" s="12">
        <v>12.27</v>
      </c>
      <c r="I160" s="8">
        <v>2434511</v>
      </c>
      <c r="J16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1" spans="1:10" x14ac:dyDescent="0.3">
      <c r="A161" s="10">
        <v>3175</v>
      </c>
      <c r="B161" s="10" t="s">
        <v>258</v>
      </c>
      <c r="C161" s="10" t="str">
        <f t="shared" si="2"/>
        <v>31</v>
      </c>
      <c r="D161" s="1" t="s">
        <v>52</v>
      </c>
      <c r="E161" s="12">
        <v>6.78</v>
      </c>
      <c r="F161" s="12">
        <v>80.290000000000006</v>
      </c>
      <c r="G161" s="12">
        <v>279723000</v>
      </c>
      <c r="H161" s="12">
        <v>11.79</v>
      </c>
      <c r="I161" s="8">
        <v>1778981</v>
      </c>
      <c r="J16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2" spans="1:10" x14ac:dyDescent="0.3">
      <c r="A162" s="10">
        <v>3201</v>
      </c>
      <c r="B162" s="10" t="s">
        <v>259</v>
      </c>
      <c r="C162" s="10" t="str">
        <f t="shared" si="2"/>
        <v>32</v>
      </c>
      <c r="D162" s="12" t="s">
        <v>53</v>
      </c>
      <c r="E162" s="12">
        <v>7.69</v>
      </c>
      <c r="F162" s="12">
        <v>70.400000000000006</v>
      </c>
      <c r="G162" s="12">
        <v>43586000</v>
      </c>
      <c r="H162" s="12">
        <v>14.29</v>
      </c>
      <c r="I162" s="8">
        <v>5427068</v>
      </c>
      <c r="J16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3" spans="1:10" x14ac:dyDescent="0.3">
      <c r="A163" s="10">
        <v>3202</v>
      </c>
      <c r="B163" s="10" t="s">
        <v>260</v>
      </c>
      <c r="C163" s="10" t="str">
        <f t="shared" si="2"/>
        <v>32</v>
      </c>
      <c r="D163" s="12" t="s">
        <v>53</v>
      </c>
      <c r="E163" s="12">
        <v>7.09</v>
      </c>
      <c r="F163" s="12">
        <v>66.88</v>
      </c>
      <c r="G163" s="12">
        <v>24836000</v>
      </c>
      <c r="H163" s="12">
        <v>9.6</v>
      </c>
      <c r="I163" s="8">
        <v>2725450</v>
      </c>
      <c r="J16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4" spans="1:10" x14ac:dyDescent="0.3">
      <c r="A164" s="10">
        <v>3203</v>
      </c>
      <c r="B164" s="10" t="s">
        <v>261</v>
      </c>
      <c r="C164" s="10" t="str">
        <f t="shared" si="2"/>
        <v>32</v>
      </c>
      <c r="D164" s="12" t="s">
        <v>53</v>
      </c>
      <c r="E164" s="12">
        <v>10.36</v>
      </c>
      <c r="F164" s="12">
        <v>65.36</v>
      </c>
      <c r="G164" s="12">
        <v>19241000</v>
      </c>
      <c r="H164" s="12">
        <v>11.05</v>
      </c>
      <c r="I164" s="8">
        <v>2477560</v>
      </c>
      <c r="J16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5" spans="1:10" x14ac:dyDescent="0.3">
      <c r="A165" s="10">
        <v>3204</v>
      </c>
      <c r="B165" s="10" t="s">
        <v>262</v>
      </c>
      <c r="C165" s="10" t="str">
        <f t="shared" si="2"/>
        <v>32</v>
      </c>
      <c r="D165" s="12" t="s">
        <v>53</v>
      </c>
      <c r="E165" s="12">
        <v>6.91</v>
      </c>
      <c r="F165" s="12">
        <v>72.39</v>
      </c>
      <c r="G165" s="12">
        <v>34206000</v>
      </c>
      <c r="H165" s="12">
        <v>8.58</v>
      </c>
      <c r="I165" s="8">
        <v>3623790</v>
      </c>
      <c r="J16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6" spans="1:10" x14ac:dyDescent="0.3">
      <c r="A166" s="10">
        <v>3205</v>
      </c>
      <c r="B166" s="10" t="s">
        <v>263</v>
      </c>
      <c r="C166" s="10" t="str">
        <f t="shared" si="2"/>
        <v>32</v>
      </c>
      <c r="D166" s="12" t="s">
        <v>53</v>
      </c>
      <c r="E166" s="12">
        <v>9.98</v>
      </c>
      <c r="F166" s="12">
        <v>66.12</v>
      </c>
      <c r="G166" s="12">
        <v>22480000</v>
      </c>
      <c r="H166" s="12">
        <v>8.9600000000000009</v>
      </c>
      <c r="I166" s="8">
        <v>2585607</v>
      </c>
      <c r="J16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7" spans="1:10" x14ac:dyDescent="0.3">
      <c r="A167" s="10">
        <v>3206</v>
      </c>
      <c r="B167" s="10" t="s">
        <v>264</v>
      </c>
      <c r="C167" s="10" t="str">
        <f t="shared" si="2"/>
        <v>32</v>
      </c>
      <c r="D167" s="12" t="s">
        <v>53</v>
      </c>
      <c r="E167" s="12">
        <v>10.34</v>
      </c>
      <c r="F167" s="12">
        <v>65.67</v>
      </c>
      <c r="G167" s="12">
        <v>20120000</v>
      </c>
      <c r="H167" s="12">
        <v>7.12</v>
      </c>
      <c r="I167" s="8">
        <v>1865203</v>
      </c>
      <c r="J16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8" spans="1:10" x14ac:dyDescent="0.3">
      <c r="A168" s="10">
        <v>3207</v>
      </c>
      <c r="B168" s="10" t="s">
        <v>265</v>
      </c>
      <c r="C168" s="10" t="str">
        <f t="shared" si="2"/>
        <v>32</v>
      </c>
      <c r="D168" s="12" t="s">
        <v>53</v>
      </c>
      <c r="E168" s="12">
        <v>7.62</v>
      </c>
      <c r="F168" s="12">
        <v>70.489999999999995</v>
      </c>
      <c r="G168" s="12">
        <v>26048000</v>
      </c>
      <c r="H168" s="12">
        <v>5.66</v>
      </c>
      <c r="I168" s="8">
        <v>1229069</v>
      </c>
      <c r="J16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9" spans="1:10" x14ac:dyDescent="0.3">
      <c r="A169" s="10">
        <v>3208</v>
      </c>
      <c r="B169" s="10" t="s">
        <v>266</v>
      </c>
      <c r="C169" s="10" t="str">
        <f t="shared" si="2"/>
        <v>32</v>
      </c>
      <c r="D169" s="12" t="s">
        <v>53</v>
      </c>
      <c r="E169" s="12">
        <v>12.82</v>
      </c>
      <c r="F169" s="12">
        <v>69.38</v>
      </c>
      <c r="G169" s="12">
        <v>21996000</v>
      </c>
      <c r="H169" s="12">
        <v>11.22</v>
      </c>
      <c r="I169" s="8">
        <v>1167686</v>
      </c>
      <c r="J16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0" spans="1:10" x14ac:dyDescent="0.3">
      <c r="A170" s="10">
        <v>3209</v>
      </c>
      <c r="B170" s="10" t="s">
        <v>267</v>
      </c>
      <c r="C170" s="10" t="str">
        <f t="shared" si="2"/>
        <v>32</v>
      </c>
      <c r="D170" s="12" t="s">
        <v>53</v>
      </c>
      <c r="E170" s="12">
        <v>11.24</v>
      </c>
      <c r="F170" s="12">
        <v>68.75</v>
      </c>
      <c r="G170" s="12">
        <v>21869000</v>
      </c>
      <c r="H170" s="12">
        <v>11.52</v>
      </c>
      <c r="I170" s="8">
        <v>2270621</v>
      </c>
      <c r="J17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1" spans="1:10" x14ac:dyDescent="0.3">
      <c r="A171" s="10">
        <v>3210</v>
      </c>
      <c r="B171" s="10" t="s">
        <v>268</v>
      </c>
      <c r="C171" s="10" t="str">
        <f t="shared" si="2"/>
        <v>32</v>
      </c>
      <c r="D171" s="12" t="s">
        <v>53</v>
      </c>
      <c r="E171" s="12">
        <v>11.43</v>
      </c>
      <c r="F171" s="12">
        <v>67.59</v>
      </c>
      <c r="G171" s="12">
        <v>24708000</v>
      </c>
      <c r="H171" s="12">
        <v>5.84</v>
      </c>
      <c r="I171" s="8">
        <v>1305476</v>
      </c>
      <c r="J17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2" spans="1:10" x14ac:dyDescent="0.3">
      <c r="A172" s="10">
        <v>3211</v>
      </c>
      <c r="B172" s="10" t="s">
        <v>269</v>
      </c>
      <c r="C172" s="10" t="str">
        <f t="shared" si="2"/>
        <v>32</v>
      </c>
      <c r="D172" s="12" t="s">
        <v>53</v>
      </c>
      <c r="E172" s="12">
        <v>10.26</v>
      </c>
      <c r="F172" s="12">
        <v>71.64</v>
      </c>
      <c r="G172" s="12">
        <v>30821000</v>
      </c>
      <c r="H172" s="12">
        <v>9.89</v>
      </c>
      <c r="I172" s="8">
        <v>1152507</v>
      </c>
      <c r="J17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3" spans="1:10" x14ac:dyDescent="0.3">
      <c r="A173" s="10">
        <v>3212</v>
      </c>
      <c r="B173" s="10" t="s">
        <v>270</v>
      </c>
      <c r="C173" s="10" t="str">
        <f t="shared" si="2"/>
        <v>32</v>
      </c>
      <c r="D173" s="12" t="s">
        <v>53</v>
      </c>
      <c r="E173" s="12">
        <v>12.7</v>
      </c>
      <c r="F173" s="12">
        <v>67.290000000000006</v>
      </c>
      <c r="G173" s="12">
        <v>43308000</v>
      </c>
      <c r="H173" s="12">
        <v>9.2100000000000009</v>
      </c>
      <c r="I173" s="8">
        <v>1834434</v>
      </c>
      <c r="J17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4" spans="1:10" x14ac:dyDescent="0.3">
      <c r="A174" s="10">
        <v>3213</v>
      </c>
      <c r="B174" s="10" t="s">
        <v>271</v>
      </c>
      <c r="C174" s="10" t="str">
        <f t="shared" si="2"/>
        <v>32</v>
      </c>
      <c r="D174" s="12" t="s">
        <v>53</v>
      </c>
      <c r="E174" s="12">
        <v>9.31</v>
      </c>
      <c r="F174" s="12">
        <v>68.95</v>
      </c>
      <c r="G174" s="12">
        <v>25209000</v>
      </c>
      <c r="H174" s="12">
        <v>9.48</v>
      </c>
      <c r="I174" s="8">
        <v>1595320</v>
      </c>
      <c r="J17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5" spans="1:10" x14ac:dyDescent="0.3">
      <c r="A175" s="10">
        <v>3214</v>
      </c>
      <c r="B175" s="10" t="s">
        <v>272</v>
      </c>
      <c r="C175" s="10" t="str">
        <f t="shared" si="2"/>
        <v>32</v>
      </c>
      <c r="D175" s="12" t="s">
        <v>53</v>
      </c>
      <c r="E175" s="12">
        <v>8.27</v>
      </c>
      <c r="F175" s="12">
        <v>70.819999999999993</v>
      </c>
      <c r="G175" s="12">
        <v>67349000</v>
      </c>
      <c r="H175" s="12">
        <v>11.07</v>
      </c>
      <c r="I175" s="8">
        <v>997869</v>
      </c>
      <c r="J17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6" spans="1:10" x14ac:dyDescent="0.3">
      <c r="A176" s="10">
        <v>3215</v>
      </c>
      <c r="B176" s="10" t="s">
        <v>273</v>
      </c>
      <c r="C176" s="10" t="str">
        <f t="shared" si="2"/>
        <v>32</v>
      </c>
      <c r="D176" s="12" t="s">
        <v>53</v>
      </c>
      <c r="E176" s="12">
        <v>8.26</v>
      </c>
      <c r="F176" s="12">
        <v>70.66</v>
      </c>
      <c r="G176" s="12">
        <v>91873000</v>
      </c>
      <c r="H176" s="12">
        <v>11.52</v>
      </c>
      <c r="I176" s="8">
        <v>2439085</v>
      </c>
      <c r="J17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7" spans="1:10" x14ac:dyDescent="0.3">
      <c r="A177" s="10">
        <v>3216</v>
      </c>
      <c r="B177" s="10" t="s">
        <v>274</v>
      </c>
      <c r="C177" s="10" t="str">
        <f t="shared" si="2"/>
        <v>32</v>
      </c>
      <c r="D177" s="12" t="s">
        <v>53</v>
      </c>
      <c r="E177" s="12">
        <v>4.82</v>
      </c>
      <c r="F177" s="12">
        <v>74.069999999999993</v>
      </c>
      <c r="G177" s="12">
        <v>102419000</v>
      </c>
      <c r="H177" s="12">
        <v>11.54</v>
      </c>
      <c r="I177" s="8">
        <v>3113017</v>
      </c>
      <c r="J17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8" spans="1:10" x14ac:dyDescent="0.3">
      <c r="A178" s="10">
        <v>3217</v>
      </c>
      <c r="B178" s="10" t="s">
        <v>275</v>
      </c>
      <c r="C178" s="10" t="str">
        <f t="shared" si="2"/>
        <v>32</v>
      </c>
      <c r="D178" s="12" t="s">
        <v>53</v>
      </c>
      <c r="E178" s="12">
        <v>10.49</v>
      </c>
      <c r="F178" s="12">
        <v>68.08</v>
      </c>
      <c r="G178" s="12">
        <v>26088000</v>
      </c>
      <c r="H178" s="12">
        <v>12.25</v>
      </c>
      <c r="I178" s="8">
        <v>1788336</v>
      </c>
      <c r="J17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9" spans="1:10" x14ac:dyDescent="0.3">
      <c r="A179" s="10">
        <v>3218</v>
      </c>
      <c r="B179" s="10" t="s">
        <v>276</v>
      </c>
      <c r="C179" s="10" t="str">
        <f t="shared" si="2"/>
        <v>32</v>
      </c>
      <c r="D179" s="12" t="s">
        <v>53</v>
      </c>
      <c r="E179" s="12">
        <v>8.99</v>
      </c>
      <c r="F179" s="12">
        <v>68.06</v>
      </c>
      <c r="G179" s="12">
        <v>27195000</v>
      </c>
      <c r="H179" s="12">
        <v>5.08</v>
      </c>
      <c r="I179" s="8">
        <v>423667</v>
      </c>
      <c r="J17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0" spans="1:10" x14ac:dyDescent="0.3">
      <c r="A180" s="10">
        <v>3271</v>
      </c>
      <c r="B180" s="10" t="s">
        <v>277</v>
      </c>
      <c r="C180" s="10" t="str">
        <f t="shared" si="2"/>
        <v>32</v>
      </c>
      <c r="D180" s="12" t="s">
        <v>53</v>
      </c>
      <c r="E180" s="12">
        <v>6.68</v>
      </c>
      <c r="F180" s="12">
        <v>76.11</v>
      </c>
      <c r="G180" s="12">
        <v>44100000</v>
      </c>
      <c r="H180" s="12">
        <v>12.68</v>
      </c>
      <c r="I180" s="8">
        <v>1043070</v>
      </c>
      <c r="J18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1" spans="1:10" x14ac:dyDescent="0.3">
      <c r="A181" s="10">
        <v>3272</v>
      </c>
      <c r="B181" s="10" t="s">
        <v>278</v>
      </c>
      <c r="C181" s="10" t="str">
        <f t="shared" si="2"/>
        <v>32</v>
      </c>
      <c r="D181" s="12" t="s">
        <v>53</v>
      </c>
      <c r="E181" s="12">
        <v>7.7</v>
      </c>
      <c r="F181" s="12">
        <v>74.209999999999994</v>
      </c>
      <c r="G181" s="12">
        <v>35926000</v>
      </c>
      <c r="H181" s="12">
        <v>12.17</v>
      </c>
      <c r="I181" s="8">
        <v>346325</v>
      </c>
      <c r="J18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2" spans="1:10" x14ac:dyDescent="0.3">
      <c r="A182" s="10">
        <v>3273</v>
      </c>
      <c r="B182" s="10" t="s">
        <v>279</v>
      </c>
      <c r="C182" s="10" t="str">
        <f t="shared" si="2"/>
        <v>32</v>
      </c>
      <c r="D182" s="12" t="s">
        <v>53</v>
      </c>
      <c r="E182" s="12">
        <v>3.99</v>
      </c>
      <c r="F182" s="12">
        <v>81.510000000000005</v>
      </c>
      <c r="G182" s="12">
        <v>116056000</v>
      </c>
      <c r="H182" s="12">
        <v>11.19</v>
      </c>
      <c r="I182" s="8">
        <v>2444160</v>
      </c>
      <c r="J18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3" spans="1:10" x14ac:dyDescent="0.3">
      <c r="A183" s="10">
        <v>3274</v>
      </c>
      <c r="B183" s="10" t="s">
        <v>280</v>
      </c>
      <c r="C183" s="10" t="str">
        <f t="shared" si="2"/>
        <v>32</v>
      </c>
      <c r="D183" s="12" t="s">
        <v>53</v>
      </c>
      <c r="E183" s="12">
        <v>9.52</v>
      </c>
      <c r="F183" s="12">
        <v>74.89</v>
      </c>
      <c r="G183" s="12">
        <v>70468000</v>
      </c>
      <c r="H183" s="12">
        <v>10.97</v>
      </c>
      <c r="I183" s="8">
        <v>333303</v>
      </c>
      <c r="J18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4" spans="1:10" x14ac:dyDescent="0.3">
      <c r="A184" s="10">
        <v>3275</v>
      </c>
      <c r="B184" s="10" t="s">
        <v>281</v>
      </c>
      <c r="C184" s="10" t="str">
        <f t="shared" si="2"/>
        <v>32</v>
      </c>
      <c r="D184" s="12" t="s">
        <v>53</v>
      </c>
      <c r="E184" s="12">
        <v>4.38</v>
      </c>
      <c r="F184" s="12">
        <v>81.5</v>
      </c>
      <c r="G184" s="12">
        <v>37999000</v>
      </c>
      <c r="H184" s="12">
        <v>10.68</v>
      </c>
      <c r="I184" s="8">
        <v>2543676</v>
      </c>
      <c r="J18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5" spans="1:10" x14ac:dyDescent="0.3">
      <c r="A185" s="10">
        <v>3276</v>
      </c>
      <c r="B185" s="10" t="s">
        <v>282</v>
      </c>
      <c r="C185" s="10" t="str">
        <f t="shared" si="2"/>
        <v>32</v>
      </c>
      <c r="D185" s="12" t="s">
        <v>53</v>
      </c>
      <c r="E185" s="12">
        <v>2.4500000000000002</v>
      </c>
      <c r="F185" s="12">
        <v>80.97</v>
      </c>
      <c r="G185" s="12">
        <v>34358000</v>
      </c>
      <c r="H185" s="12">
        <v>9.8699999999999992</v>
      </c>
      <c r="I185" s="8">
        <v>2056335</v>
      </c>
      <c r="J18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6" spans="1:10" x14ac:dyDescent="0.3">
      <c r="A186" s="10">
        <v>3277</v>
      </c>
      <c r="B186" s="10" t="s">
        <v>283</v>
      </c>
      <c r="C186" s="10" t="str">
        <f t="shared" si="2"/>
        <v>32</v>
      </c>
      <c r="D186" s="12" t="s">
        <v>53</v>
      </c>
      <c r="E186" s="12">
        <v>5.1100000000000003</v>
      </c>
      <c r="F186" s="12">
        <v>77.83</v>
      </c>
      <c r="G186" s="12">
        <v>56715000</v>
      </c>
      <c r="H186" s="12">
        <v>13.3</v>
      </c>
      <c r="I186" s="8">
        <v>568400</v>
      </c>
      <c r="J18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7" spans="1:10" x14ac:dyDescent="0.3">
      <c r="A187" s="10">
        <v>3278</v>
      </c>
      <c r="B187" s="10" t="s">
        <v>284</v>
      </c>
      <c r="C187" s="10" t="str">
        <f t="shared" si="2"/>
        <v>32</v>
      </c>
      <c r="D187" s="12" t="s">
        <v>53</v>
      </c>
      <c r="E187" s="12">
        <v>12.97</v>
      </c>
      <c r="F187" s="12">
        <v>73.040000000000006</v>
      </c>
      <c r="G187" s="12">
        <v>30223000</v>
      </c>
      <c r="H187" s="12">
        <v>7.99</v>
      </c>
      <c r="I187" s="8">
        <v>716155</v>
      </c>
      <c r="J18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8" spans="1:10" x14ac:dyDescent="0.3">
      <c r="A188" s="10">
        <v>3279</v>
      </c>
      <c r="B188" s="10" t="s">
        <v>285</v>
      </c>
      <c r="C188" s="10" t="str">
        <f t="shared" si="2"/>
        <v>32</v>
      </c>
      <c r="D188" s="12" t="s">
        <v>53</v>
      </c>
      <c r="E188" s="12">
        <v>6.09</v>
      </c>
      <c r="F188" s="12">
        <v>71.7</v>
      </c>
      <c r="G188" s="12">
        <v>22184000</v>
      </c>
      <c r="H188" s="12">
        <v>6.73</v>
      </c>
      <c r="I188" s="8">
        <v>200973</v>
      </c>
      <c r="J18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9" spans="1:10" x14ac:dyDescent="0.3">
      <c r="A189" s="10">
        <v>3301</v>
      </c>
      <c r="B189" s="10" t="s">
        <v>286</v>
      </c>
      <c r="C189" s="10" t="str">
        <f t="shared" si="2"/>
        <v>33</v>
      </c>
      <c r="D189" s="12" t="s">
        <v>54</v>
      </c>
      <c r="E189" s="12">
        <v>11.46</v>
      </c>
      <c r="F189" s="12">
        <v>69.95</v>
      </c>
      <c r="G189" s="12">
        <v>53922000</v>
      </c>
      <c r="H189" s="12">
        <v>9.1</v>
      </c>
      <c r="I189" s="8">
        <v>1944857</v>
      </c>
      <c r="J18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0" spans="1:10" x14ac:dyDescent="0.3">
      <c r="A190" s="10">
        <v>3302</v>
      </c>
      <c r="B190" s="10" t="s">
        <v>287</v>
      </c>
      <c r="C190" s="10" t="str">
        <f t="shared" si="2"/>
        <v>33</v>
      </c>
      <c r="D190" s="12" t="s">
        <v>54</v>
      </c>
      <c r="E190" s="12">
        <v>13.26</v>
      </c>
      <c r="F190" s="12">
        <v>71.98</v>
      </c>
      <c r="G190" s="12">
        <v>30278000</v>
      </c>
      <c r="H190" s="12">
        <v>6</v>
      </c>
      <c r="I190" s="8">
        <v>1776918</v>
      </c>
      <c r="J19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1" spans="1:10" x14ac:dyDescent="0.3">
      <c r="A191" s="10">
        <v>3303</v>
      </c>
      <c r="B191" s="10" t="s">
        <v>288</v>
      </c>
      <c r="C191" s="10" t="str">
        <f t="shared" si="2"/>
        <v>33</v>
      </c>
      <c r="D191" s="12" t="s">
        <v>54</v>
      </c>
      <c r="E191" s="12">
        <v>15.9</v>
      </c>
      <c r="F191" s="12">
        <v>68.97</v>
      </c>
      <c r="G191" s="12">
        <v>25204000</v>
      </c>
      <c r="H191" s="12">
        <v>6.1</v>
      </c>
      <c r="I191" s="8">
        <v>998561</v>
      </c>
      <c r="J19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2" spans="1:10" x14ac:dyDescent="0.3">
      <c r="A192" s="10">
        <v>3304</v>
      </c>
      <c r="B192" s="10" t="s">
        <v>289</v>
      </c>
      <c r="C192" s="10" t="str">
        <f t="shared" si="2"/>
        <v>33</v>
      </c>
      <c r="D192" s="12" t="s">
        <v>54</v>
      </c>
      <c r="E192" s="12">
        <v>15.64</v>
      </c>
      <c r="F192" s="12">
        <v>67.45</v>
      </c>
      <c r="G192" s="12">
        <v>21376000</v>
      </c>
      <c r="H192" s="12">
        <v>5.86</v>
      </c>
      <c r="I192" s="8">
        <v>1017767</v>
      </c>
      <c r="J19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3" spans="1:10" x14ac:dyDescent="0.3">
      <c r="A193" s="10">
        <v>3305</v>
      </c>
      <c r="B193" s="10" t="s">
        <v>290</v>
      </c>
      <c r="C193" s="10" t="str">
        <f t="shared" si="2"/>
        <v>33</v>
      </c>
      <c r="D193" s="12" t="s">
        <v>54</v>
      </c>
      <c r="E193" s="12">
        <v>17.59</v>
      </c>
      <c r="F193" s="12">
        <v>69.81</v>
      </c>
      <c r="G193" s="12">
        <v>20801000</v>
      </c>
      <c r="H193" s="12">
        <v>6.07</v>
      </c>
      <c r="I193" s="8">
        <v>1350438</v>
      </c>
      <c r="J19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4" spans="1:10" x14ac:dyDescent="0.3">
      <c r="A194" s="10">
        <v>3306</v>
      </c>
      <c r="B194" s="10" t="s">
        <v>291</v>
      </c>
      <c r="C194" s="10" t="str">
        <f t="shared" ref="C194:C257" si="3">LEFT(A194,2)</f>
        <v>33</v>
      </c>
      <c r="D194" s="12" t="s">
        <v>54</v>
      </c>
      <c r="E194" s="12">
        <v>11.78</v>
      </c>
      <c r="F194" s="12">
        <v>72.680000000000007</v>
      </c>
      <c r="G194" s="12">
        <v>24255000</v>
      </c>
      <c r="H194" s="12">
        <v>4.04</v>
      </c>
      <c r="I194" s="8">
        <v>769880</v>
      </c>
      <c r="J19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5" spans="1:10" x14ac:dyDescent="0.3">
      <c r="A195" s="10">
        <v>3307</v>
      </c>
      <c r="B195" s="10" t="s">
        <v>292</v>
      </c>
      <c r="C195" s="10" t="str">
        <f t="shared" si="3"/>
        <v>33</v>
      </c>
      <c r="D195" s="12" t="s">
        <v>54</v>
      </c>
      <c r="E195" s="12">
        <v>17.36</v>
      </c>
      <c r="F195" s="12">
        <v>68.22</v>
      </c>
      <c r="G195" s="12">
        <v>21487000</v>
      </c>
      <c r="H195" s="12">
        <v>5.37</v>
      </c>
      <c r="I195" s="8">
        <v>879124</v>
      </c>
      <c r="J19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6" spans="1:10" x14ac:dyDescent="0.3">
      <c r="A196" s="10">
        <v>3308</v>
      </c>
      <c r="B196" s="10" t="s">
        <v>293</v>
      </c>
      <c r="C196" s="10" t="str">
        <f t="shared" si="3"/>
        <v>33</v>
      </c>
      <c r="D196" s="12" t="s">
        <v>54</v>
      </c>
      <c r="E196" s="12">
        <v>11.27</v>
      </c>
      <c r="F196" s="12">
        <v>69.87</v>
      </c>
      <c r="G196" s="12">
        <v>25006000</v>
      </c>
      <c r="H196" s="12">
        <v>4.2699999999999996</v>
      </c>
      <c r="I196" s="8">
        <v>1299859</v>
      </c>
      <c r="J19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7" spans="1:10" x14ac:dyDescent="0.3">
      <c r="A197" s="10">
        <v>3309</v>
      </c>
      <c r="B197" s="10" t="s">
        <v>294</v>
      </c>
      <c r="C197" s="10" t="str">
        <f t="shared" si="3"/>
        <v>33</v>
      </c>
      <c r="D197" s="12" t="s">
        <v>54</v>
      </c>
      <c r="E197" s="12">
        <v>10.18</v>
      </c>
      <c r="F197" s="12">
        <v>74.25</v>
      </c>
      <c r="G197" s="12">
        <v>30827000</v>
      </c>
      <c r="H197" s="12">
        <v>5.28</v>
      </c>
      <c r="I197" s="8">
        <v>1062713</v>
      </c>
      <c r="J19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8" spans="1:10" x14ac:dyDescent="0.3">
      <c r="A198" s="10">
        <v>3310</v>
      </c>
      <c r="B198" s="10" t="s">
        <v>295</v>
      </c>
      <c r="C198" s="10" t="str">
        <f t="shared" si="3"/>
        <v>33</v>
      </c>
      <c r="D198" s="12" t="s">
        <v>54</v>
      </c>
      <c r="E198" s="12">
        <v>12.89</v>
      </c>
      <c r="F198" s="12">
        <v>75.56</v>
      </c>
      <c r="G198" s="12">
        <v>31737000</v>
      </c>
      <c r="H198" s="12">
        <v>5.46</v>
      </c>
      <c r="I198" s="8">
        <v>1260506</v>
      </c>
      <c r="J19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9" spans="1:10" x14ac:dyDescent="0.3">
      <c r="A199" s="10">
        <v>3311</v>
      </c>
      <c r="B199" s="10" t="s">
        <v>296</v>
      </c>
      <c r="C199" s="10" t="str">
        <f t="shared" si="3"/>
        <v>33</v>
      </c>
      <c r="D199" s="12" t="s">
        <v>54</v>
      </c>
      <c r="E199" s="12">
        <v>7.68</v>
      </c>
      <c r="F199" s="12">
        <v>76.98</v>
      </c>
      <c r="G199" s="12">
        <v>40700000</v>
      </c>
      <c r="H199" s="12">
        <v>6.93</v>
      </c>
      <c r="I199" s="8">
        <v>907587</v>
      </c>
      <c r="J19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0" spans="1:10" x14ac:dyDescent="0.3">
      <c r="A200" s="10">
        <v>3312</v>
      </c>
      <c r="B200" s="10" t="s">
        <v>297</v>
      </c>
      <c r="C200" s="10" t="str">
        <f t="shared" si="3"/>
        <v>33</v>
      </c>
      <c r="D200" s="12" t="s">
        <v>54</v>
      </c>
      <c r="E200" s="12">
        <v>10.86</v>
      </c>
      <c r="F200" s="12">
        <v>70.25</v>
      </c>
      <c r="G200" s="12">
        <v>28010000</v>
      </c>
      <c r="H200" s="12">
        <v>4.2699999999999996</v>
      </c>
      <c r="I200" s="8">
        <v>1043177</v>
      </c>
      <c r="J20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1" spans="1:10" x14ac:dyDescent="0.3">
      <c r="A201" s="10">
        <v>3313</v>
      </c>
      <c r="B201" s="10" t="s">
        <v>298</v>
      </c>
      <c r="C201" s="10" t="str">
        <f t="shared" si="3"/>
        <v>33</v>
      </c>
      <c r="D201" s="12" t="s">
        <v>54</v>
      </c>
      <c r="E201" s="12">
        <v>10.28</v>
      </c>
      <c r="F201" s="12">
        <v>75.86</v>
      </c>
      <c r="G201" s="12">
        <v>39818000</v>
      </c>
      <c r="H201" s="12">
        <v>5.96</v>
      </c>
      <c r="I201" s="8">
        <v>931963</v>
      </c>
      <c r="J20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2" spans="1:10" x14ac:dyDescent="0.3">
      <c r="A202" s="10">
        <v>3314</v>
      </c>
      <c r="B202" s="10" t="s">
        <v>299</v>
      </c>
      <c r="C202" s="10" t="str">
        <f t="shared" si="3"/>
        <v>33</v>
      </c>
      <c r="D202" s="12" t="s">
        <v>54</v>
      </c>
      <c r="E202" s="12">
        <v>13.38</v>
      </c>
      <c r="F202" s="12">
        <v>73.95</v>
      </c>
      <c r="G202" s="12">
        <v>38827000</v>
      </c>
      <c r="H202" s="12">
        <v>4.75</v>
      </c>
      <c r="I202" s="8">
        <v>976951</v>
      </c>
      <c r="J20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3" spans="1:10" x14ac:dyDescent="0.3">
      <c r="A203" s="10">
        <v>3315</v>
      </c>
      <c r="B203" s="10" t="s">
        <v>300</v>
      </c>
      <c r="C203" s="10" t="str">
        <f t="shared" si="3"/>
        <v>33</v>
      </c>
      <c r="D203" s="12" t="s">
        <v>54</v>
      </c>
      <c r="E203" s="12">
        <v>12.46</v>
      </c>
      <c r="F203" s="12">
        <v>69.87</v>
      </c>
      <c r="G203" s="12">
        <v>18789000</v>
      </c>
      <c r="H203" s="12">
        <v>4.5</v>
      </c>
      <c r="I203" s="8">
        <v>1453526</v>
      </c>
      <c r="J20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4" spans="1:10" x14ac:dyDescent="0.3">
      <c r="A204" s="10">
        <v>3316</v>
      </c>
      <c r="B204" s="10" t="s">
        <v>301</v>
      </c>
      <c r="C204" s="10" t="str">
        <f t="shared" si="3"/>
        <v>33</v>
      </c>
      <c r="D204" s="12" t="s">
        <v>54</v>
      </c>
      <c r="E204" s="12">
        <v>11.96</v>
      </c>
      <c r="F204" s="12">
        <v>68.84</v>
      </c>
      <c r="G204" s="12">
        <v>27158000</v>
      </c>
      <c r="H204" s="12">
        <v>4.8899999999999997</v>
      </c>
      <c r="I204" s="8">
        <v>884333</v>
      </c>
      <c r="J20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5" spans="1:10" x14ac:dyDescent="0.3">
      <c r="A205" s="10">
        <v>3317</v>
      </c>
      <c r="B205" s="10" t="s">
        <v>302</v>
      </c>
      <c r="C205" s="10" t="str">
        <f t="shared" si="3"/>
        <v>33</v>
      </c>
      <c r="D205" s="12" t="s">
        <v>54</v>
      </c>
      <c r="E205" s="12">
        <v>15.6</v>
      </c>
      <c r="F205" s="12">
        <v>70.02</v>
      </c>
      <c r="G205" s="12">
        <v>29387000</v>
      </c>
      <c r="H205" s="12">
        <v>4.83</v>
      </c>
      <c r="I205" s="8">
        <v>645333</v>
      </c>
      <c r="J20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6" spans="1:10" x14ac:dyDescent="0.3">
      <c r="A206" s="10">
        <v>3318</v>
      </c>
      <c r="B206" s="10" t="s">
        <v>303</v>
      </c>
      <c r="C206" s="10" t="str">
        <f t="shared" si="3"/>
        <v>33</v>
      </c>
      <c r="D206" s="12" t="s">
        <v>54</v>
      </c>
      <c r="E206" s="12">
        <v>10.08</v>
      </c>
      <c r="F206" s="12">
        <v>71.77</v>
      </c>
      <c r="G206" s="12">
        <v>32741000</v>
      </c>
      <c r="H206" s="12">
        <v>4.74</v>
      </c>
      <c r="I206" s="8">
        <v>1324188</v>
      </c>
      <c r="J20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7" spans="1:10" x14ac:dyDescent="0.3">
      <c r="A207" s="10">
        <v>3319</v>
      </c>
      <c r="B207" s="10" t="s">
        <v>304</v>
      </c>
      <c r="C207" s="10" t="str">
        <f t="shared" si="3"/>
        <v>33</v>
      </c>
      <c r="D207" s="12" t="s">
        <v>54</v>
      </c>
      <c r="E207" s="12">
        <v>7.31</v>
      </c>
      <c r="F207" s="12">
        <v>75</v>
      </c>
      <c r="G207" s="12">
        <v>129137000</v>
      </c>
      <c r="H207" s="12">
        <v>5.53</v>
      </c>
      <c r="I207" s="8">
        <v>849184</v>
      </c>
      <c r="J20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8" spans="1:10" x14ac:dyDescent="0.3">
      <c r="A208" s="10">
        <v>3320</v>
      </c>
      <c r="B208" s="10" t="s">
        <v>305</v>
      </c>
      <c r="C208" s="10" t="str">
        <f t="shared" si="3"/>
        <v>33</v>
      </c>
      <c r="D208" s="12" t="s">
        <v>54</v>
      </c>
      <c r="E208" s="12">
        <v>7.17</v>
      </c>
      <c r="F208" s="12">
        <v>71.989999999999995</v>
      </c>
      <c r="G208" s="12">
        <v>25487000</v>
      </c>
      <c r="H208" s="12">
        <v>6.7</v>
      </c>
      <c r="I208" s="8">
        <v>1184947</v>
      </c>
      <c r="J20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9" spans="1:10" x14ac:dyDescent="0.3">
      <c r="A209" s="10">
        <v>3321</v>
      </c>
      <c r="B209" s="10" t="s">
        <v>306</v>
      </c>
      <c r="C209" s="10" t="str">
        <f t="shared" si="3"/>
        <v>33</v>
      </c>
      <c r="D209" s="12" t="s">
        <v>54</v>
      </c>
      <c r="E209" s="12">
        <v>12.54</v>
      </c>
      <c r="F209" s="12">
        <v>72.22</v>
      </c>
      <c r="G209" s="12">
        <v>22097000</v>
      </c>
      <c r="H209" s="12">
        <v>7.31</v>
      </c>
      <c r="I209" s="8">
        <v>1203956</v>
      </c>
      <c r="J20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0" spans="1:10" x14ac:dyDescent="0.3">
      <c r="A210" s="10">
        <v>3322</v>
      </c>
      <c r="B210" s="10" t="s">
        <v>307</v>
      </c>
      <c r="C210" s="10" t="str">
        <f t="shared" si="3"/>
        <v>33</v>
      </c>
      <c r="D210" s="12" t="s">
        <v>54</v>
      </c>
      <c r="E210" s="12">
        <v>7.51</v>
      </c>
      <c r="F210" s="12">
        <v>74.099999999999994</v>
      </c>
      <c r="G210" s="12">
        <v>46666000</v>
      </c>
      <c r="H210" s="12">
        <v>4.57</v>
      </c>
      <c r="I210" s="8">
        <v>1053094</v>
      </c>
      <c r="J21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1" spans="1:10" x14ac:dyDescent="0.3">
      <c r="A211" s="10">
        <v>3323</v>
      </c>
      <c r="B211" s="10" t="s">
        <v>308</v>
      </c>
      <c r="C211" s="10" t="str">
        <f t="shared" si="3"/>
        <v>33</v>
      </c>
      <c r="D211" s="12" t="s">
        <v>54</v>
      </c>
      <c r="E211" s="12">
        <v>9.9600000000000009</v>
      </c>
      <c r="F211" s="12">
        <v>69.569999999999993</v>
      </c>
      <c r="G211" s="12">
        <v>27326000</v>
      </c>
      <c r="H211" s="12">
        <v>3.85</v>
      </c>
      <c r="I211" s="8">
        <v>790174</v>
      </c>
      <c r="J21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2" spans="1:10" x14ac:dyDescent="0.3">
      <c r="A212" s="10">
        <v>3324</v>
      </c>
      <c r="B212" s="10" t="s">
        <v>309</v>
      </c>
      <c r="C212" s="10" t="str">
        <f t="shared" si="3"/>
        <v>33</v>
      </c>
      <c r="D212" s="12" t="s">
        <v>54</v>
      </c>
      <c r="E212" s="12">
        <v>9.99</v>
      </c>
      <c r="F212" s="12">
        <v>72.290000000000006</v>
      </c>
      <c r="G212" s="12">
        <v>41895000</v>
      </c>
      <c r="H212" s="12">
        <v>7.56</v>
      </c>
      <c r="I212" s="8">
        <v>1018505</v>
      </c>
      <c r="J21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3" spans="1:10" x14ac:dyDescent="0.3">
      <c r="A213" s="10">
        <v>3325</v>
      </c>
      <c r="B213" s="10" t="s">
        <v>310</v>
      </c>
      <c r="C213" s="10" t="str">
        <f t="shared" si="3"/>
        <v>33</v>
      </c>
      <c r="D213" s="12" t="s">
        <v>54</v>
      </c>
      <c r="E213" s="12">
        <v>9.1300000000000008</v>
      </c>
      <c r="F213" s="12">
        <v>68.650000000000006</v>
      </c>
      <c r="G213" s="12">
        <v>27024000</v>
      </c>
      <c r="H213" s="12">
        <v>6.92</v>
      </c>
      <c r="I213" s="8">
        <v>801718</v>
      </c>
      <c r="J21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4" spans="1:10" x14ac:dyDescent="0.3">
      <c r="A214" s="10">
        <v>3326</v>
      </c>
      <c r="B214" s="10" t="s">
        <v>311</v>
      </c>
      <c r="C214" s="10" t="str">
        <f t="shared" si="3"/>
        <v>33</v>
      </c>
      <c r="D214" s="12" t="s">
        <v>54</v>
      </c>
      <c r="E214" s="12">
        <v>10.19</v>
      </c>
      <c r="F214" s="12">
        <v>69.63</v>
      </c>
      <c r="G214" s="12">
        <v>23596000</v>
      </c>
      <c r="H214" s="12">
        <v>6.97</v>
      </c>
      <c r="I214" s="8">
        <v>968821</v>
      </c>
      <c r="J21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5" spans="1:10" x14ac:dyDescent="0.3">
      <c r="A215" s="10">
        <v>3327</v>
      </c>
      <c r="B215" s="10" t="s">
        <v>312</v>
      </c>
      <c r="C215" s="10" t="str">
        <f t="shared" si="3"/>
        <v>33</v>
      </c>
      <c r="D215" s="12" t="s">
        <v>54</v>
      </c>
      <c r="E215" s="12">
        <v>16.02</v>
      </c>
      <c r="F215" s="12">
        <v>66.319999999999993</v>
      </c>
      <c r="G215" s="12">
        <v>17596000</v>
      </c>
      <c r="H215" s="12">
        <v>7.64</v>
      </c>
      <c r="I215" s="8">
        <v>1471489</v>
      </c>
      <c r="J21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6" spans="1:10" x14ac:dyDescent="0.3">
      <c r="A216" s="10">
        <v>3328</v>
      </c>
      <c r="B216" s="10" t="s">
        <v>313</v>
      </c>
      <c r="C216" s="10" t="str">
        <f t="shared" si="3"/>
        <v>33</v>
      </c>
      <c r="D216" s="12" t="s">
        <v>54</v>
      </c>
      <c r="E216" s="12">
        <v>8.14</v>
      </c>
      <c r="F216" s="12">
        <v>68.39</v>
      </c>
      <c r="G216" s="12">
        <v>22154000</v>
      </c>
      <c r="H216" s="12">
        <v>9.82</v>
      </c>
      <c r="I216" s="8">
        <v>1596996</v>
      </c>
      <c r="J21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7" spans="1:10" x14ac:dyDescent="0.3">
      <c r="A217" s="10">
        <v>3329</v>
      </c>
      <c r="B217" s="10" t="s">
        <v>314</v>
      </c>
      <c r="C217" s="10" t="str">
        <f t="shared" si="3"/>
        <v>33</v>
      </c>
      <c r="D217" s="12" t="s">
        <v>54</v>
      </c>
      <c r="E217" s="12">
        <v>17.03</v>
      </c>
      <c r="F217" s="12">
        <v>66.11</v>
      </c>
      <c r="G217" s="12">
        <v>23834000</v>
      </c>
      <c r="H217" s="12">
        <v>9.83</v>
      </c>
      <c r="I217" s="8">
        <v>1978759</v>
      </c>
      <c r="J21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8" spans="1:10" x14ac:dyDescent="0.3">
      <c r="A218" s="10">
        <v>3371</v>
      </c>
      <c r="B218" s="10" t="s">
        <v>315</v>
      </c>
      <c r="C218" s="10" t="str">
        <f t="shared" si="3"/>
        <v>33</v>
      </c>
      <c r="D218" s="12" t="s">
        <v>54</v>
      </c>
      <c r="E218" s="12">
        <v>7.58</v>
      </c>
      <c r="F218" s="12">
        <v>78.989999999999995</v>
      </c>
      <c r="G218" s="12">
        <v>71702000</v>
      </c>
      <c r="H218" s="12">
        <v>8.59</v>
      </c>
      <c r="I218" s="8">
        <v>121526</v>
      </c>
      <c r="J21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9" spans="1:10" x14ac:dyDescent="0.3">
      <c r="A219" s="10">
        <v>3372</v>
      </c>
      <c r="B219" s="10" t="s">
        <v>316</v>
      </c>
      <c r="C219" s="10" t="str">
        <f t="shared" si="3"/>
        <v>33</v>
      </c>
      <c r="D219" s="12" t="s">
        <v>54</v>
      </c>
      <c r="E219" s="12">
        <v>9.0299999999999994</v>
      </c>
      <c r="F219" s="12">
        <v>82.21</v>
      </c>
      <c r="G219" s="12">
        <v>91171000</v>
      </c>
      <c r="H219" s="12">
        <v>7.92</v>
      </c>
      <c r="I219" s="8">
        <v>522364</v>
      </c>
      <c r="J21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0" spans="1:10" x14ac:dyDescent="0.3">
      <c r="A220" s="10">
        <v>3373</v>
      </c>
      <c r="B220" s="10" t="s">
        <v>317</v>
      </c>
      <c r="C220" s="10" t="str">
        <f t="shared" si="3"/>
        <v>33</v>
      </c>
      <c r="D220" s="12" t="s">
        <v>54</v>
      </c>
      <c r="E220" s="12">
        <v>4.9400000000000004</v>
      </c>
      <c r="F220" s="12">
        <v>83.14</v>
      </c>
      <c r="G220" s="12">
        <v>69142000</v>
      </c>
      <c r="H220" s="12">
        <v>7.44</v>
      </c>
      <c r="I220" s="8">
        <v>192322</v>
      </c>
      <c r="J22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1" spans="1:10" x14ac:dyDescent="0.3">
      <c r="A221" s="10">
        <v>3374</v>
      </c>
      <c r="B221" s="10" t="s">
        <v>318</v>
      </c>
      <c r="C221" s="10" t="str">
        <f t="shared" si="3"/>
        <v>33</v>
      </c>
      <c r="D221" s="12" t="s">
        <v>54</v>
      </c>
      <c r="E221" s="12">
        <v>4.34</v>
      </c>
      <c r="F221" s="12">
        <v>83.05</v>
      </c>
      <c r="G221" s="12">
        <v>114189000</v>
      </c>
      <c r="H221" s="12">
        <v>9.57</v>
      </c>
      <c r="I221" s="8">
        <v>1653524</v>
      </c>
      <c r="J22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2" spans="1:10" x14ac:dyDescent="0.3">
      <c r="A222" s="10">
        <v>3375</v>
      </c>
      <c r="B222" s="10" t="s">
        <v>319</v>
      </c>
      <c r="C222" s="10" t="str">
        <f t="shared" si="3"/>
        <v>33</v>
      </c>
      <c r="D222" s="12" t="s">
        <v>54</v>
      </c>
      <c r="E222" s="12">
        <v>7.17</v>
      </c>
      <c r="F222" s="12">
        <v>74.98</v>
      </c>
      <c r="G222" s="12">
        <v>35360000</v>
      </c>
      <c r="H222" s="12">
        <v>7.02</v>
      </c>
      <c r="I222" s="8">
        <v>307150</v>
      </c>
      <c r="J22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3" spans="1:10" x14ac:dyDescent="0.3">
      <c r="A223" s="10">
        <v>3376</v>
      </c>
      <c r="B223" s="10" t="s">
        <v>320</v>
      </c>
      <c r="C223" s="10" t="str">
        <f t="shared" si="3"/>
        <v>33</v>
      </c>
      <c r="D223" s="12" t="s">
        <v>54</v>
      </c>
      <c r="E223" s="12">
        <v>7.8</v>
      </c>
      <c r="F223" s="12">
        <v>75.069999999999993</v>
      </c>
      <c r="G223" s="12">
        <v>55724000</v>
      </c>
      <c r="H223" s="12">
        <v>8.4</v>
      </c>
      <c r="I223" s="8">
        <v>273825</v>
      </c>
      <c r="J22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4" spans="1:10" x14ac:dyDescent="0.3">
      <c r="A224" s="10">
        <v>3401</v>
      </c>
      <c r="B224" s="10" t="s">
        <v>321</v>
      </c>
      <c r="C224" s="10" t="str">
        <f t="shared" si="3"/>
        <v>34</v>
      </c>
      <c r="D224" s="1" t="s">
        <v>55</v>
      </c>
      <c r="E224" s="12">
        <v>18.010000000000002</v>
      </c>
      <c r="F224" s="12">
        <v>74.459999999999994</v>
      </c>
      <c r="G224" s="12">
        <v>26965000</v>
      </c>
      <c r="H224" s="12">
        <v>3.71</v>
      </c>
      <c r="I224" s="8">
        <v>436395</v>
      </c>
      <c r="J22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5" spans="1:10" x14ac:dyDescent="0.3">
      <c r="A225" s="10">
        <v>3402</v>
      </c>
      <c r="B225" s="10" t="s">
        <v>322</v>
      </c>
      <c r="C225" s="10" t="str">
        <f t="shared" si="3"/>
        <v>34</v>
      </c>
      <c r="D225" s="1" t="s">
        <v>55</v>
      </c>
      <c r="E225" s="12">
        <v>13.5</v>
      </c>
      <c r="F225" s="12">
        <v>80.010000000000005</v>
      </c>
      <c r="G225" s="12">
        <v>26556000</v>
      </c>
      <c r="H225" s="12">
        <v>4.0599999999999996</v>
      </c>
      <c r="I225" s="8">
        <v>985770</v>
      </c>
      <c r="J22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6" spans="1:10" x14ac:dyDescent="0.3">
      <c r="A226" s="10">
        <v>3403</v>
      </c>
      <c r="B226" s="10" t="s">
        <v>323</v>
      </c>
      <c r="C226" s="10" t="str">
        <f t="shared" si="3"/>
        <v>34</v>
      </c>
      <c r="D226" s="1" t="s">
        <v>55</v>
      </c>
      <c r="E226" s="12">
        <v>17.07</v>
      </c>
      <c r="F226" s="12">
        <v>69.98</v>
      </c>
      <c r="G226" s="12">
        <v>25398000</v>
      </c>
      <c r="H226" s="12">
        <v>2.16</v>
      </c>
      <c r="I226" s="8">
        <v>747161</v>
      </c>
      <c r="J22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7" spans="1:10" x14ac:dyDescent="0.3">
      <c r="A227" s="10">
        <v>3404</v>
      </c>
      <c r="B227" s="10" t="s">
        <v>324</v>
      </c>
      <c r="C227" s="10" t="str">
        <f t="shared" si="3"/>
        <v>34</v>
      </c>
      <c r="D227" s="1" t="s">
        <v>55</v>
      </c>
      <c r="E227" s="12">
        <v>8.1199999999999992</v>
      </c>
      <c r="F227" s="12">
        <v>83.84</v>
      </c>
      <c r="G227" s="12">
        <v>40568000</v>
      </c>
      <c r="H227" s="12">
        <v>5.09</v>
      </c>
      <c r="I227" s="8">
        <v>1125804</v>
      </c>
      <c r="J22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8" spans="1:10" x14ac:dyDescent="0.3">
      <c r="A228" s="10">
        <v>3471</v>
      </c>
      <c r="B228" s="10" t="s">
        <v>325</v>
      </c>
      <c r="C228" s="10" t="str">
        <f t="shared" si="3"/>
        <v>34</v>
      </c>
      <c r="D228" s="1" t="s">
        <v>55</v>
      </c>
      <c r="E228" s="12">
        <v>7.27</v>
      </c>
      <c r="F228" s="12">
        <v>86.61</v>
      </c>
      <c r="G228" s="12">
        <v>95591000</v>
      </c>
      <c r="H228" s="12">
        <v>9.16</v>
      </c>
      <c r="I228" s="8">
        <v>373589</v>
      </c>
      <c r="J22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9" spans="1:10" x14ac:dyDescent="0.3">
      <c r="A229" s="10">
        <v>3501</v>
      </c>
      <c r="B229" s="10" t="s">
        <v>326</v>
      </c>
      <c r="C229" s="10" t="str">
        <f t="shared" si="3"/>
        <v>35</v>
      </c>
      <c r="D229" s="12" t="s">
        <v>56</v>
      </c>
      <c r="E229" s="12">
        <v>14.54</v>
      </c>
      <c r="F229" s="12">
        <v>68.39</v>
      </c>
      <c r="G229" s="12">
        <v>26972000</v>
      </c>
      <c r="H229" s="12">
        <v>2.2799999999999998</v>
      </c>
      <c r="I229" s="8">
        <v>586110</v>
      </c>
      <c r="J22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0" spans="1:10" x14ac:dyDescent="0.3">
      <c r="A230" s="10">
        <v>3502</v>
      </c>
      <c r="B230" s="10" t="s">
        <v>327</v>
      </c>
      <c r="C230" s="10" t="str">
        <f t="shared" si="3"/>
        <v>35</v>
      </c>
      <c r="D230" s="12" t="s">
        <v>56</v>
      </c>
      <c r="E230" s="12">
        <v>9.9499999999999993</v>
      </c>
      <c r="F230" s="12">
        <v>70.81</v>
      </c>
      <c r="G230" s="12">
        <v>21654000</v>
      </c>
      <c r="H230" s="12">
        <v>4.45</v>
      </c>
      <c r="I230" s="8">
        <v>949318</v>
      </c>
      <c r="J23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1" spans="1:10" x14ac:dyDescent="0.3">
      <c r="A231" s="10">
        <v>3503</v>
      </c>
      <c r="B231" s="10" t="s">
        <v>328</v>
      </c>
      <c r="C231" s="10" t="str">
        <f t="shared" si="3"/>
        <v>35</v>
      </c>
      <c r="D231" s="12" t="s">
        <v>56</v>
      </c>
      <c r="E231" s="12">
        <v>11.62</v>
      </c>
      <c r="F231" s="12">
        <v>69.739999999999995</v>
      </c>
      <c r="G231" s="12">
        <v>25087000</v>
      </c>
      <c r="H231" s="12">
        <v>4.1100000000000003</v>
      </c>
      <c r="I231" s="8">
        <v>731125</v>
      </c>
      <c r="J23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2" spans="1:10" x14ac:dyDescent="0.3">
      <c r="A232" s="10">
        <v>3504</v>
      </c>
      <c r="B232" s="10" t="s">
        <v>329</v>
      </c>
      <c r="C232" s="10" t="str">
        <f t="shared" si="3"/>
        <v>35</v>
      </c>
      <c r="D232" s="12" t="s">
        <v>56</v>
      </c>
      <c r="E232" s="12">
        <v>7.33</v>
      </c>
      <c r="F232" s="12">
        <v>73</v>
      </c>
      <c r="G232" s="12">
        <v>35143000</v>
      </c>
      <c r="H232" s="12">
        <v>4.6100000000000003</v>
      </c>
      <c r="I232" s="8">
        <v>1089775</v>
      </c>
      <c r="J23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3" spans="1:10" x14ac:dyDescent="0.3">
      <c r="A233" s="10">
        <v>3505</v>
      </c>
      <c r="B233" s="10" t="s">
        <v>330</v>
      </c>
      <c r="C233" s="10" t="str">
        <f t="shared" si="3"/>
        <v>35</v>
      </c>
      <c r="D233" s="12" t="s">
        <v>56</v>
      </c>
      <c r="E233" s="12">
        <v>9.33</v>
      </c>
      <c r="F233" s="12">
        <v>70.58</v>
      </c>
      <c r="G233" s="12">
        <v>29490000</v>
      </c>
      <c r="H233" s="12">
        <v>3.82</v>
      </c>
      <c r="I233" s="8">
        <v>1223745</v>
      </c>
      <c r="J23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4" spans="1:10" x14ac:dyDescent="0.3">
      <c r="A234" s="10">
        <v>3506</v>
      </c>
      <c r="B234" s="10" t="s">
        <v>331</v>
      </c>
      <c r="C234" s="10" t="str">
        <f t="shared" si="3"/>
        <v>35</v>
      </c>
      <c r="D234" s="12" t="s">
        <v>56</v>
      </c>
      <c r="E234" s="12">
        <v>11.4</v>
      </c>
      <c r="F234" s="12">
        <v>72.05</v>
      </c>
      <c r="G234" s="12">
        <v>24885000</v>
      </c>
      <c r="H234" s="12">
        <v>5.24</v>
      </c>
      <c r="I234" s="8">
        <v>1635294</v>
      </c>
      <c r="J23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5" spans="1:10" x14ac:dyDescent="0.3">
      <c r="A235" s="10">
        <v>3507</v>
      </c>
      <c r="B235" s="10" t="s">
        <v>332</v>
      </c>
      <c r="C235" s="10" t="str">
        <f t="shared" si="3"/>
        <v>35</v>
      </c>
      <c r="D235" s="12" t="s">
        <v>56</v>
      </c>
      <c r="E235" s="12">
        <v>10.15</v>
      </c>
      <c r="F235" s="12">
        <v>70.36</v>
      </c>
      <c r="G235" s="12">
        <v>38495000</v>
      </c>
      <c r="H235" s="12">
        <v>5.49</v>
      </c>
      <c r="I235" s="8">
        <v>2654448</v>
      </c>
      <c r="J23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6" spans="1:10" x14ac:dyDescent="0.3">
      <c r="A236" s="10">
        <v>3508</v>
      </c>
      <c r="B236" s="10" t="s">
        <v>333</v>
      </c>
      <c r="C236" s="10" t="str">
        <f t="shared" si="3"/>
        <v>35</v>
      </c>
      <c r="D236" s="12" t="s">
        <v>56</v>
      </c>
      <c r="E236" s="12">
        <v>9.83</v>
      </c>
      <c r="F236" s="12">
        <v>65.459999999999994</v>
      </c>
      <c r="G236" s="12">
        <v>28707000</v>
      </c>
      <c r="H236" s="12">
        <v>3.36</v>
      </c>
      <c r="I236" s="8">
        <v>1119251</v>
      </c>
      <c r="J23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7" spans="1:10" x14ac:dyDescent="0.3">
      <c r="A237" s="10">
        <v>3509</v>
      </c>
      <c r="B237" s="10" t="s">
        <v>334</v>
      </c>
      <c r="C237" s="10" t="str">
        <f t="shared" si="3"/>
        <v>35</v>
      </c>
      <c r="D237" s="12" t="s">
        <v>56</v>
      </c>
      <c r="E237" s="12">
        <v>10.09</v>
      </c>
      <c r="F237" s="12">
        <v>67.11</v>
      </c>
      <c r="G237" s="12">
        <v>30023000</v>
      </c>
      <c r="H237" s="12">
        <v>5.12</v>
      </c>
      <c r="I237" s="8">
        <v>2536729</v>
      </c>
      <c r="J23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8" spans="1:10" x14ac:dyDescent="0.3">
      <c r="A238" s="10">
        <v>3510</v>
      </c>
      <c r="B238" s="10" t="s">
        <v>335</v>
      </c>
      <c r="C238" s="10" t="str">
        <f t="shared" si="3"/>
        <v>35</v>
      </c>
      <c r="D238" s="12" t="s">
        <v>56</v>
      </c>
      <c r="E238" s="12">
        <v>8.06</v>
      </c>
      <c r="F238" s="12">
        <v>70.62</v>
      </c>
      <c r="G238" s="12">
        <v>47567000</v>
      </c>
      <c r="H238" s="12">
        <v>5.34</v>
      </c>
      <c r="I238" s="8">
        <v>1708114</v>
      </c>
      <c r="J23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9" spans="1:10" x14ac:dyDescent="0.3">
      <c r="A239" s="10">
        <v>3511</v>
      </c>
      <c r="B239" s="10" t="s">
        <v>336</v>
      </c>
      <c r="C239" s="10" t="str">
        <f t="shared" si="3"/>
        <v>35</v>
      </c>
      <c r="D239" s="12" t="s">
        <v>56</v>
      </c>
      <c r="E239" s="12">
        <v>14.17</v>
      </c>
      <c r="F239" s="12">
        <v>66.430000000000007</v>
      </c>
      <c r="G239" s="12">
        <v>25706000</v>
      </c>
      <c r="H239" s="12">
        <v>4.13</v>
      </c>
      <c r="I239" s="8">
        <v>776151</v>
      </c>
      <c r="J23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0" spans="1:10" x14ac:dyDescent="0.3">
      <c r="A240" s="10">
        <v>3512</v>
      </c>
      <c r="B240" s="10" t="s">
        <v>337</v>
      </c>
      <c r="C240" s="10" t="str">
        <f t="shared" si="3"/>
        <v>35</v>
      </c>
      <c r="D240" s="12" t="s">
        <v>56</v>
      </c>
      <c r="E240" s="12">
        <v>12.22</v>
      </c>
      <c r="F240" s="12">
        <v>67.38</v>
      </c>
      <c r="G240" s="12">
        <v>29244000</v>
      </c>
      <c r="H240" s="12">
        <v>3.85</v>
      </c>
      <c r="I240" s="8">
        <v>685967</v>
      </c>
      <c r="J24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1" spans="1:10" x14ac:dyDescent="0.3">
      <c r="A241" s="10">
        <v>3513</v>
      </c>
      <c r="B241" s="10" t="s">
        <v>338</v>
      </c>
      <c r="C241" s="10" t="str">
        <f t="shared" si="3"/>
        <v>35</v>
      </c>
      <c r="D241" s="12" t="s">
        <v>56</v>
      </c>
      <c r="E241" s="12">
        <v>18.61</v>
      </c>
      <c r="F241" s="12">
        <v>66.069999999999993</v>
      </c>
      <c r="G241" s="12">
        <v>29280000</v>
      </c>
      <c r="H241" s="12">
        <v>4.8600000000000003</v>
      </c>
      <c r="I241" s="8">
        <v>1152537</v>
      </c>
      <c r="J24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2" spans="1:10" x14ac:dyDescent="0.3">
      <c r="A242" s="10">
        <v>3514</v>
      </c>
      <c r="B242" s="10" t="s">
        <v>339</v>
      </c>
      <c r="C242" s="10" t="str">
        <f t="shared" si="3"/>
        <v>35</v>
      </c>
      <c r="D242" s="12" t="s">
        <v>56</v>
      </c>
      <c r="E242" s="12">
        <v>9.26</v>
      </c>
      <c r="F242" s="12">
        <v>68.599999999999994</v>
      </c>
      <c r="G242" s="12">
        <v>90747000</v>
      </c>
      <c r="H242" s="12">
        <v>6.24</v>
      </c>
      <c r="I242" s="8">
        <v>1605969</v>
      </c>
      <c r="J24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3" spans="1:10" x14ac:dyDescent="0.3">
      <c r="A243" s="10">
        <v>3515</v>
      </c>
      <c r="B243" s="10" t="s">
        <v>340</v>
      </c>
      <c r="C243" s="10" t="str">
        <f t="shared" si="3"/>
        <v>35</v>
      </c>
      <c r="D243" s="12" t="s">
        <v>56</v>
      </c>
      <c r="E243" s="12">
        <v>5.59</v>
      </c>
      <c r="F243" s="12">
        <v>80.290000000000006</v>
      </c>
      <c r="G243" s="12">
        <v>94818000</v>
      </c>
      <c r="H243" s="12">
        <v>10.97</v>
      </c>
      <c r="I243" s="8">
        <v>2082801</v>
      </c>
      <c r="J24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4" spans="1:10" x14ac:dyDescent="0.3">
      <c r="A244" s="10">
        <v>3516</v>
      </c>
      <c r="B244" s="10" t="s">
        <v>341</v>
      </c>
      <c r="C244" s="10" t="str">
        <f t="shared" si="3"/>
        <v>35</v>
      </c>
      <c r="D244" s="12" t="s">
        <v>56</v>
      </c>
      <c r="E244" s="12">
        <v>10.57</v>
      </c>
      <c r="F244" s="12">
        <v>73.83</v>
      </c>
      <c r="G244" s="12">
        <v>73335000</v>
      </c>
      <c r="H244" s="12">
        <v>5.75</v>
      </c>
      <c r="I244" s="8">
        <v>1119209</v>
      </c>
      <c r="J24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5" spans="1:10" x14ac:dyDescent="0.3">
      <c r="A245" s="10">
        <v>3517</v>
      </c>
      <c r="B245" s="10" t="s">
        <v>342</v>
      </c>
      <c r="C245" s="10" t="str">
        <f t="shared" si="3"/>
        <v>35</v>
      </c>
      <c r="D245" s="12" t="s">
        <v>56</v>
      </c>
      <c r="E245" s="12">
        <v>9.94</v>
      </c>
      <c r="F245" s="12">
        <v>72.97</v>
      </c>
      <c r="G245" s="12">
        <v>30303000</v>
      </c>
      <c r="H245" s="12">
        <v>7.48</v>
      </c>
      <c r="I245" s="8">
        <v>1318062</v>
      </c>
      <c r="J24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6" spans="1:10" x14ac:dyDescent="0.3">
      <c r="A246" s="10">
        <v>3518</v>
      </c>
      <c r="B246" s="10" t="s">
        <v>343</v>
      </c>
      <c r="C246" s="10" t="str">
        <f t="shared" si="3"/>
        <v>35</v>
      </c>
      <c r="D246" s="12" t="s">
        <v>56</v>
      </c>
      <c r="E246" s="12">
        <v>11.62</v>
      </c>
      <c r="F246" s="12">
        <v>71.72</v>
      </c>
      <c r="G246" s="12">
        <v>24134000</v>
      </c>
      <c r="H246" s="12">
        <v>4.8</v>
      </c>
      <c r="I246" s="8">
        <v>1103902</v>
      </c>
      <c r="J24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7" spans="1:10" x14ac:dyDescent="0.3">
      <c r="A247" s="10">
        <v>3519</v>
      </c>
      <c r="B247" s="10" t="s">
        <v>344</v>
      </c>
      <c r="C247" s="10" t="str">
        <f t="shared" si="3"/>
        <v>35</v>
      </c>
      <c r="D247" s="12" t="s">
        <v>56</v>
      </c>
      <c r="E247" s="12">
        <v>11.46</v>
      </c>
      <c r="F247" s="12">
        <v>71.73</v>
      </c>
      <c r="G247" s="12">
        <v>25811000</v>
      </c>
      <c r="H247" s="12">
        <v>4.8</v>
      </c>
      <c r="I247" s="8">
        <v>744350</v>
      </c>
      <c r="J24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8" spans="1:10" x14ac:dyDescent="0.3">
      <c r="A248" s="10">
        <v>3520</v>
      </c>
      <c r="B248" s="10" t="s">
        <v>345</v>
      </c>
      <c r="C248" s="10" t="str">
        <f t="shared" si="3"/>
        <v>35</v>
      </c>
      <c r="D248" s="12" t="s">
        <v>56</v>
      </c>
      <c r="E248" s="12">
        <v>10.35</v>
      </c>
      <c r="F248" s="12">
        <v>73.92</v>
      </c>
      <c r="G248" s="12">
        <v>28024000</v>
      </c>
      <c r="H248" s="12">
        <v>3.74</v>
      </c>
      <c r="I248" s="8">
        <v>670812</v>
      </c>
      <c r="J24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9" spans="1:10" x14ac:dyDescent="0.3">
      <c r="A249" s="10">
        <v>3521</v>
      </c>
      <c r="B249" s="10" t="s">
        <v>346</v>
      </c>
      <c r="C249" s="10" t="str">
        <f t="shared" si="3"/>
        <v>35</v>
      </c>
      <c r="D249" s="12" t="s">
        <v>56</v>
      </c>
      <c r="E249" s="12">
        <v>15.44</v>
      </c>
      <c r="F249" s="12">
        <v>70.540000000000006</v>
      </c>
      <c r="G249" s="12">
        <v>23323000</v>
      </c>
      <c r="H249" s="12">
        <v>5.44</v>
      </c>
      <c r="I249" s="8">
        <v>870057</v>
      </c>
      <c r="J24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0" spans="1:10" x14ac:dyDescent="0.3">
      <c r="A250" s="10">
        <v>3522</v>
      </c>
      <c r="B250" s="10" t="s">
        <v>347</v>
      </c>
      <c r="C250" s="10" t="str">
        <f t="shared" si="3"/>
        <v>35</v>
      </c>
      <c r="D250" s="12" t="s">
        <v>56</v>
      </c>
      <c r="E250" s="12">
        <v>12.87</v>
      </c>
      <c r="F250" s="12">
        <v>69.040000000000006</v>
      </c>
      <c r="G250" s="12">
        <v>54048000</v>
      </c>
      <c r="H250" s="12">
        <v>4.92</v>
      </c>
      <c r="I250" s="8">
        <v>1301635</v>
      </c>
      <c r="J25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1" spans="1:10" x14ac:dyDescent="0.3">
      <c r="A251" s="10">
        <v>3523</v>
      </c>
      <c r="B251" s="10" t="s">
        <v>348</v>
      </c>
      <c r="C251" s="10" t="str">
        <f t="shared" si="3"/>
        <v>35</v>
      </c>
      <c r="D251" s="12" t="s">
        <v>56</v>
      </c>
      <c r="E251" s="12">
        <v>15.91</v>
      </c>
      <c r="F251" s="12">
        <v>68.400000000000006</v>
      </c>
      <c r="G251" s="12">
        <v>52085000</v>
      </c>
      <c r="H251" s="12">
        <v>4.8099999999999996</v>
      </c>
      <c r="I251" s="8">
        <v>1198012</v>
      </c>
      <c r="J25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2" spans="1:10" x14ac:dyDescent="0.3">
      <c r="A252" s="10">
        <v>3524</v>
      </c>
      <c r="B252" s="10" t="s">
        <v>349</v>
      </c>
      <c r="C252" s="10" t="str">
        <f t="shared" si="3"/>
        <v>35</v>
      </c>
      <c r="D252" s="12" t="s">
        <v>56</v>
      </c>
      <c r="E252" s="12">
        <v>13.85</v>
      </c>
      <c r="F252" s="12">
        <v>72.58</v>
      </c>
      <c r="G252" s="12">
        <v>29221000</v>
      </c>
      <c r="H252" s="12">
        <v>5.13</v>
      </c>
      <c r="I252" s="8">
        <v>1344165</v>
      </c>
      <c r="J25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3" spans="1:10" x14ac:dyDescent="0.3">
      <c r="A253" s="10">
        <v>3525</v>
      </c>
      <c r="B253" s="10" t="s">
        <v>350</v>
      </c>
      <c r="C253" s="10" t="str">
        <f t="shared" si="3"/>
        <v>35</v>
      </c>
      <c r="D253" s="12" t="s">
        <v>56</v>
      </c>
      <c r="E253" s="12">
        <v>12.4</v>
      </c>
      <c r="F253" s="12">
        <v>76.11</v>
      </c>
      <c r="G253" s="12">
        <v>102623000</v>
      </c>
      <c r="H253" s="12">
        <v>8.2100000000000009</v>
      </c>
      <c r="I253" s="8">
        <v>1311215</v>
      </c>
      <c r="J25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4" spans="1:10" x14ac:dyDescent="0.3">
      <c r="A254" s="10">
        <v>3526</v>
      </c>
      <c r="B254" s="10" t="s">
        <v>351</v>
      </c>
      <c r="C254" s="10" t="str">
        <f t="shared" si="3"/>
        <v>35</v>
      </c>
      <c r="D254" s="12" t="s">
        <v>56</v>
      </c>
      <c r="E254" s="12">
        <v>20.56</v>
      </c>
      <c r="F254" s="12">
        <v>64.11</v>
      </c>
      <c r="G254" s="12">
        <v>22038000</v>
      </c>
      <c r="H254" s="12">
        <v>8.77</v>
      </c>
      <c r="I254" s="8">
        <v>1060377</v>
      </c>
      <c r="J25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5" spans="1:10" x14ac:dyDescent="0.3">
      <c r="A255" s="10">
        <v>3527</v>
      </c>
      <c r="B255" s="10" t="s">
        <v>352</v>
      </c>
      <c r="C255" s="10" t="str">
        <f t="shared" si="3"/>
        <v>35</v>
      </c>
      <c r="D255" s="12" t="s">
        <v>56</v>
      </c>
      <c r="E255" s="12">
        <v>22.78</v>
      </c>
      <c r="F255" s="12">
        <v>62.7</v>
      </c>
      <c r="G255" s="12">
        <v>20503000</v>
      </c>
      <c r="H255" s="12">
        <v>3.35</v>
      </c>
      <c r="I255" s="8">
        <v>969694</v>
      </c>
      <c r="J25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6" spans="1:10" x14ac:dyDescent="0.3">
      <c r="A256" s="10">
        <v>3528</v>
      </c>
      <c r="B256" s="10" t="s">
        <v>353</v>
      </c>
      <c r="C256" s="10" t="str">
        <f t="shared" si="3"/>
        <v>35</v>
      </c>
      <c r="D256" s="12" t="s">
        <v>56</v>
      </c>
      <c r="E256" s="12">
        <v>14.6</v>
      </c>
      <c r="F256" s="12">
        <v>66.260000000000005</v>
      </c>
      <c r="G256" s="12">
        <v>19779000</v>
      </c>
      <c r="H256" s="12">
        <v>3.49</v>
      </c>
      <c r="I256" s="8">
        <v>850057</v>
      </c>
      <c r="J25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7" spans="1:10" x14ac:dyDescent="0.3">
      <c r="A257" s="10">
        <v>3529</v>
      </c>
      <c r="B257" s="10" t="s">
        <v>354</v>
      </c>
      <c r="C257" s="10" t="str">
        <f t="shared" si="3"/>
        <v>35</v>
      </c>
      <c r="D257" s="12" t="s">
        <v>56</v>
      </c>
      <c r="E257" s="12">
        <v>20.18</v>
      </c>
      <c r="F257" s="12">
        <v>66.430000000000007</v>
      </c>
      <c r="G257" s="12">
        <v>29166000</v>
      </c>
      <c r="H257" s="12">
        <v>2.84</v>
      </c>
      <c r="I257" s="8">
        <v>1124436</v>
      </c>
      <c r="J25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8" spans="1:10" x14ac:dyDescent="0.3">
      <c r="A258" s="10">
        <v>3571</v>
      </c>
      <c r="B258" s="10" t="s">
        <v>355</v>
      </c>
      <c r="C258" s="10" t="str">
        <f t="shared" ref="C258:C321" si="4">LEFT(A258,2)</f>
        <v>35</v>
      </c>
      <c r="D258" s="12" t="s">
        <v>56</v>
      </c>
      <c r="E258" s="12">
        <v>7.69</v>
      </c>
      <c r="F258" s="12">
        <v>78.23</v>
      </c>
      <c r="G258" s="12">
        <v>462199000</v>
      </c>
      <c r="H258" s="12">
        <v>6.21</v>
      </c>
      <c r="I258" s="8">
        <v>286796</v>
      </c>
      <c r="J25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9" spans="1:10" x14ac:dyDescent="0.3">
      <c r="A259" s="10">
        <v>3572</v>
      </c>
      <c r="B259" s="10" t="s">
        <v>356</v>
      </c>
      <c r="C259" s="10" t="str">
        <f t="shared" si="4"/>
        <v>35</v>
      </c>
      <c r="D259" s="12" t="s">
        <v>56</v>
      </c>
      <c r="E259" s="12">
        <v>7.78</v>
      </c>
      <c r="F259" s="12">
        <v>78.569999999999993</v>
      </c>
      <c r="G259" s="12">
        <v>45090000</v>
      </c>
      <c r="H259" s="12">
        <v>6.68</v>
      </c>
      <c r="I259" s="8">
        <v>149149</v>
      </c>
      <c r="J25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0" spans="1:10" x14ac:dyDescent="0.3">
      <c r="A260" s="10">
        <v>3573</v>
      </c>
      <c r="B260" s="10" t="s">
        <v>357</v>
      </c>
      <c r="C260" s="10" t="str">
        <f t="shared" si="4"/>
        <v>35</v>
      </c>
      <c r="D260" s="12" t="s">
        <v>56</v>
      </c>
      <c r="E260" s="12">
        <v>4.4400000000000004</v>
      </c>
      <c r="F260" s="12">
        <v>81.45</v>
      </c>
      <c r="G260" s="12">
        <v>85540000</v>
      </c>
      <c r="H260" s="12">
        <v>9.61</v>
      </c>
      <c r="I260" s="8">
        <v>843810</v>
      </c>
      <c r="J26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1" spans="1:10" x14ac:dyDescent="0.3">
      <c r="A261" s="10">
        <v>3574</v>
      </c>
      <c r="B261" s="10" t="s">
        <v>358</v>
      </c>
      <c r="C261" s="10" t="str">
        <f t="shared" si="4"/>
        <v>35</v>
      </c>
      <c r="D261" s="12" t="s">
        <v>56</v>
      </c>
      <c r="E261" s="12">
        <v>7.43</v>
      </c>
      <c r="F261" s="12">
        <v>73.27</v>
      </c>
      <c r="G261" s="12">
        <v>46302000</v>
      </c>
      <c r="H261" s="12">
        <v>6.7</v>
      </c>
      <c r="I261" s="8">
        <v>239649</v>
      </c>
      <c r="J26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2" spans="1:10" x14ac:dyDescent="0.3">
      <c r="A262" s="10">
        <v>3575</v>
      </c>
      <c r="B262" s="10" t="s">
        <v>359</v>
      </c>
      <c r="C262" s="10" t="str">
        <f t="shared" si="4"/>
        <v>35</v>
      </c>
      <c r="D262" s="12" t="s">
        <v>56</v>
      </c>
      <c r="E262" s="12">
        <v>6.66</v>
      </c>
      <c r="F262" s="12">
        <v>75.260000000000005</v>
      </c>
      <c r="G262" s="12">
        <v>38774000</v>
      </c>
      <c r="H262" s="12">
        <v>6.33</v>
      </c>
      <c r="I262" s="8">
        <v>208006</v>
      </c>
      <c r="J26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3" spans="1:10" x14ac:dyDescent="0.3">
      <c r="A263" s="10">
        <v>3576</v>
      </c>
      <c r="B263" s="10" t="s">
        <v>360</v>
      </c>
      <c r="C263" s="10" t="str">
        <f t="shared" si="4"/>
        <v>35</v>
      </c>
      <c r="D263" s="12" t="s">
        <v>56</v>
      </c>
      <c r="E263" s="12">
        <v>6.24</v>
      </c>
      <c r="F263" s="12">
        <v>78.040000000000006</v>
      </c>
      <c r="G263" s="12">
        <v>49840000</v>
      </c>
      <c r="H263" s="12">
        <v>6.74</v>
      </c>
      <c r="I263" s="8">
        <v>132434</v>
      </c>
      <c r="J26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4" spans="1:10" x14ac:dyDescent="0.3">
      <c r="A264" s="10">
        <v>3577</v>
      </c>
      <c r="B264" s="10" t="s">
        <v>361</v>
      </c>
      <c r="C264" s="10" t="str">
        <f t="shared" si="4"/>
        <v>35</v>
      </c>
      <c r="D264" s="12" t="s">
        <v>56</v>
      </c>
      <c r="E264" s="12">
        <v>4.9800000000000004</v>
      </c>
      <c r="F264" s="12">
        <v>80.91</v>
      </c>
      <c r="G264" s="12">
        <v>69463000</v>
      </c>
      <c r="H264" s="12">
        <v>8.32</v>
      </c>
      <c r="I264" s="8">
        <v>195175</v>
      </c>
      <c r="J26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5" spans="1:10" x14ac:dyDescent="0.3">
      <c r="A265" s="10">
        <v>3578</v>
      </c>
      <c r="B265" s="10" t="s">
        <v>362</v>
      </c>
      <c r="C265" s="10" t="str">
        <f t="shared" si="4"/>
        <v>35</v>
      </c>
      <c r="D265" s="12" t="s">
        <v>56</v>
      </c>
      <c r="E265" s="12">
        <v>5.0199999999999996</v>
      </c>
      <c r="F265" s="12">
        <v>82.23</v>
      </c>
      <c r="G265" s="12">
        <v>193010000</v>
      </c>
      <c r="H265" s="12">
        <v>9.7899999999999991</v>
      </c>
      <c r="I265" s="8">
        <v>2874314</v>
      </c>
      <c r="J26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6" spans="1:10" x14ac:dyDescent="0.3">
      <c r="A266" s="10">
        <v>3579</v>
      </c>
      <c r="B266" s="10" t="s">
        <v>363</v>
      </c>
      <c r="C266" s="10" t="str">
        <f t="shared" si="4"/>
        <v>35</v>
      </c>
      <c r="D266" s="12" t="s">
        <v>56</v>
      </c>
      <c r="E266" s="12">
        <v>3.89</v>
      </c>
      <c r="F266" s="12">
        <v>75.900000000000006</v>
      </c>
      <c r="G266" s="12">
        <v>74884000</v>
      </c>
      <c r="H266" s="12">
        <v>5.93</v>
      </c>
      <c r="I266" s="8">
        <v>213046</v>
      </c>
      <c r="J26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7" spans="1:10" x14ac:dyDescent="0.3">
      <c r="A267" s="10">
        <v>3601</v>
      </c>
      <c r="B267" s="10" t="s">
        <v>364</v>
      </c>
      <c r="C267" s="10" t="str">
        <f t="shared" si="4"/>
        <v>36</v>
      </c>
      <c r="D267" s="12" t="s">
        <v>57</v>
      </c>
      <c r="E267" s="12">
        <v>9.92</v>
      </c>
      <c r="F267" s="12">
        <v>65</v>
      </c>
      <c r="G267" s="12">
        <v>22350000</v>
      </c>
      <c r="H267" s="12">
        <v>9.15</v>
      </c>
      <c r="I267" s="8">
        <v>1272687</v>
      </c>
      <c r="J26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8" spans="1:10" x14ac:dyDescent="0.3">
      <c r="A268" s="10">
        <v>3602</v>
      </c>
      <c r="B268" s="10" t="s">
        <v>365</v>
      </c>
      <c r="C268" s="10" t="str">
        <f t="shared" si="4"/>
        <v>36</v>
      </c>
      <c r="D268" s="12" t="s">
        <v>57</v>
      </c>
      <c r="E268" s="12">
        <v>9.24</v>
      </c>
      <c r="F268" s="12">
        <v>63.91</v>
      </c>
      <c r="G268" s="12">
        <v>21026000</v>
      </c>
      <c r="H268" s="12">
        <v>9.6300000000000008</v>
      </c>
      <c r="I268" s="8">
        <v>1386793</v>
      </c>
      <c r="J26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9" spans="1:10" x14ac:dyDescent="0.3">
      <c r="A269" s="10">
        <v>3603</v>
      </c>
      <c r="B269" s="10" t="s">
        <v>366</v>
      </c>
      <c r="C269" s="10" t="str">
        <f t="shared" si="4"/>
        <v>36</v>
      </c>
      <c r="D269" s="12" t="s">
        <v>57</v>
      </c>
      <c r="E269" s="12">
        <v>6.23</v>
      </c>
      <c r="F269" s="12">
        <v>71.92</v>
      </c>
      <c r="G269" s="12">
        <v>41964000</v>
      </c>
      <c r="H269" s="12">
        <v>13.06</v>
      </c>
      <c r="I269" s="8">
        <v>3245619</v>
      </c>
      <c r="J26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0" spans="1:10" x14ac:dyDescent="0.3">
      <c r="A270" s="10">
        <v>3604</v>
      </c>
      <c r="B270" s="10" t="s">
        <v>367</v>
      </c>
      <c r="C270" s="10" t="str">
        <f t="shared" si="4"/>
        <v>36</v>
      </c>
      <c r="D270" s="12" t="s">
        <v>57</v>
      </c>
      <c r="E270" s="12">
        <v>4.9400000000000004</v>
      </c>
      <c r="F270" s="12">
        <v>66.7</v>
      </c>
      <c r="G270" s="12">
        <v>46937000</v>
      </c>
      <c r="H270" s="12">
        <v>12.22</v>
      </c>
      <c r="I270" s="8">
        <v>1622630</v>
      </c>
      <c r="J27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1" spans="1:10" x14ac:dyDescent="0.3">
      <c r="A271" s="10">
        <v>3671</v>
      </c>
      <c r="B271" s="10" t="s">
        <v>368</v>
      </c>
      <c r="C271" s="10" t="str">
        <f t="shared" si="4"/>
        <v>36</v>
      </c>
      <c r="D271" s="12" t="s">
        <v>57</v>
      </c>
      <c r="E271" s="12">
        <v>5.22</v>
      </c>
      <c r="F271" s="12">
        <v>78.25</v>
      </c>
      <c r="G271" s="12">
        <v>75560000</v>
      </c>
      <c r="H271" s="12">
        <v>8.6300000000000008</v>
      </c>
      <c r="I271" s="8">
        <v>1895486</v>
      </c>
      <c r="J27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2" spans="1:10" x14ac:dyDescent="0.3">
      <c r="A272" s="10">
        <v>3672</v>
      </c>
      <c r="B272" s="10" t="s">
        <v>369</v>
      </c>
      <c r="C272" s="10" t="str">
        <f t="shared" si="4"/>
        <v>36</v>
      </c>
      <c r="D272" s="12" t="s">
        <v>57</v>
      </c>
      <c r="E272" s="12">
        <v>3.69</v>
      </c>
      <c r="F272" s="12">
        <v>73.05</v>
      </c>
      <c r="G272" s="12">
        <v>237118000</v>
      </c>
      <c r="H272" s="12">
        <v>12.69</v>
      </c>
      <c r="I272" s="8">
        <v>434896</v>
      </c>
      <c r="J27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3" spans="1:10" x14ac:dyDescent="0.3">
      <c r="A273" s="10">
        <v>3673</v>
      </c>
      <c r="B273" s="10" t="s">
        <v>370</v>
      </c>
      <c r="C273" s="10" t="str">
        <f t="shared" si="4"/>
        <v>36</v>
      </c>
      <c r="D273" s="12" t="s">
        <v>57</v>
      </c>
      <c r="E273" s="12">
        <v>6.06</v>
      </c>
      <c r="F273" s="12">
        <v>72.16</v>
      </c>
      <c r="G273" s="12">
        <v>45963000</v>
      </c>
      <c r="H273" s="12">
        <v>9.26</v>
      </c>
      <c r="I273" s="8">
        <v>692101</v>
      </c>
      <c r="J27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4" spans="1:10" x14ac:dyDescent="0.3">
      <c r="A274" s="10">
        <v>3674</v>
      </c>
      <c r="B274" s="10" t="s">
        <v>371</v>
      </c>
      <c r="C274" s="10" t="str">
        <f t="shared" si="4"/>
        <v>36</v>
      </c>
      <c r="D274" s="12" t="s">
        <v>57</v>
      </c>
      <c r="E274" s="12">
        <v>2.29</v>
      </c>
      <c r="F274" s="12">
        <v>81.36</v>
      </c>
      <c r="G274" s="12">
        <v>61017000</v>
      </c>
      <c r="H274" s="12">
        <v>8.48</v>
      </c>
      <c r="I274" s="8">
        <v>1354350</v>
      </c>
      <c r="J27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5" spans="1:10" x14ac:dyDescent="0.3">
      <c r="A275" s="10">
        <v>5101</v>
      </c>
      <c r="B275" s="10" t="s">
        <v>372</v>
      </c>
      <c r="C275" s="10" t="str">
        <f t="shared" si="4"/>
        <v>51</v>
      </c>
      <c r="D275" s="12" t="s">
        <v>58</v>
      </c>
      <c r="E275" s="12">
        <v>4.51</v>
      </c>
      <c r="F275" s="12">
        <v>72.36</v>
      </c>
      <c r="G275" s="12">
        <v>42516000</v>
      </c>
      <c r="H275" s="12">
        <v>4.5199999999999996</v>
      </c>
      <c r="I275" s="8">
        <v>317064</v>
      </c>
      <c r="J27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6" spans="1:10" x14ac:dyDescent="0.3">
      <c r="A276" s="10">
        <v>5102</v>
      </c>
      <c r="B276" s="10" t="s">
        <v>373</v>
      </c>
      <c r="C276" s="10" t="str">
        <f t="shared" si="4"/>
        <v>51</v>
      </c>
      <c r="D276" s="12" t="s">
        <v>58</v>
      </c>
      <c r="E276" s="12">
        <v>4.2699999999999996</v>
      </c>
      <c r="F276" s="12">
        <v>76.17</v>
      </c>
      <c r="G276" s="12">
        <v>48249000</v>
      </c>
      <c r="H276" s="12">
        <v>4.21</v>
      </c>
      <c r="I276" s="8">
        <v>461630</v>
      </c>
      <c r="J27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7" spans="1:10" x14ac:dyDescent="0.3">
      <c r="A277" s="10">
        <v>5103</v>
      </c>
      <c r="B277" s="10" t="s">
        <v>374</v>
      </c>
      <c r="C277" s="10" t="str">
        <f t="shared" si="4"/>
        <v>51</v>
      </c>
      <c r="D277" s="12" t="s">
        <v>58</v>
      </c>
      <c r="E277" s="12">
        <v>2.02</v>
      </c>
      <c r="F277" s="12">
        <v>81.599999999999994</v>
      </c>
      <c r="G277" s="12">
        <v>89312000</v>
      </c>
      <c r="H277" s="12">
        <v>6.92</v>
      </c>
      <c r="I277" s="8">
        <v>548191</v>
      </c>
      <c r="J27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8" spans="1:10" x14ac:dyDescent="0.3">
      <c r="A278" s="10">
        <v>5104</v>
      </c>
      <c r="B278" s="10" t="s">
        <v>375</v>
      </c>
      <c r="C278" s="10" t="str">
        <f t="shared" si="4"/>
        <v>51</v>
      </c>
      <c r="D278" s="12" t="s">
        <v>58</v>
      </c>
      <c r="E278" s="12">
        <v>4.08</v>
      </c>
      <c r="F278" s="12">
        <v>77.36</v>
      </c>
      <c r="G278" s="12">
        <v>50180000</v>
      </c>
      <c r="H278" s="12">
        <v>7.53</v>
      </c>
      <c r="I278" s="8">
        <v>515344</v>
      </c>
      <c r="J27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9" spans="1:10" x14ac:dyDescent="0.3">
      <c r="A279" s="10">
        <v>5105</v>
      </c>
      <c r="B279" s="10" t="s">
        <v>376</v>
      </c>
      <c r="C279" s="10" t="str">
        <f t="shared" si="4"/>
        <v>51</v>
      </c>
      <c r="D279" s="12" t="s">
        <v>58</v>
      </c>
      <c r="E279" s="12">
        <v>4.87</v>
      </c>
      <c r="F279" s="12">
        <v>71.73</v>
      </c>
      <c r="G279" s="12">
        <v>40971000</v>
      </c>
      <c r="H279" s="12">
        <v>5.42</v>
      </c>
      <c r="I279" s="8">
        <v>206925</v>
      </c>
      <c r="J27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0" spans="1:10" x14ac:dyDescent="0.3">
      <c r="A280" s="10">
        <v>5106</v>
      </c>
      <c r="B280" s="10" t="s">
        <v>377</v>
      </c>
      <c r="C280" s="10" t="str">
        <f t="shared" si="4"/>
        <v>51</v>
      </c>
      <c r="D280" s="12" t="s">
        <v>58</v>
      </c>
      <c r="E280" s="12">
        <v>4.1900000000000004</v>
      </c>
      <c r="F280" s="12">
        <v>69.36</v>
      </c>
      <c r="G280" s="12">
        <v>26036000</v>
      </c>
      <c r="H280" s="12">
        <v>1.86</v>
      </c>
      <c r="I280" s="8">
        <v>258721</v>
      </c>
      <c r="J28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1" spans="1:10" x14ac:dyDescent="0.3">
      <c r="A281" s="10">
        <v>5107</v>
      </c>
      <c r="B281" s="10" t="s">
        <v>378</v>
      </c>
      <c r="C281" s="10" t="str">
        <f t="shared" si="4"/>
        <v>51</v>
      </c>
      <c r="D281" s="12" t="s">
        <v>58</v>
      </c>
      <c r="E281" s="12">
        <v>5.91</v>
      </c>
      <c r="F281" s="12">
        <v>67.349999999999994</v>
      </c>
      <c r="G281" s="12">
        <v>33432000</v>
      </c>
      <c r="H281" s="12">
        <v>2.42</v>
      </c>
      <c r="I281" s="8">
        <v>492402</v>
      </c>
      <c r="J28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2" spans="1:10" x14ac:dyDescent="0.3">
      <c r="A282" s="10">
        <v>5108</v>
      </c>
      <c r="B282" s="10" t="s">
        <v>379</v>
      </c>
      <c r="C282" s="10" t="str">
        <f t="shared" si="4"/>
        <v>51</v>
      </c>
      <c r="D282" s="12" t="s">
        <v>58</v>
      </c>
      <c r="E282" s="12">
        <v>5.32</v>
      </c>
      <c r="F282" s="12">
        <v>72.55</v>
      </c>
      <c r="G282" s="12">
        <v>42241000</v>
      </c>
      <c r="H282" s="12">
        <v>5.19</v>
      </c>
      <c r="I282" s="8">
        <v>791813</v>
      </c>
      <c r="J28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3" spans="1:10" x14ac:dyDescent="0.3">
      <c r="A283" s="10">
        <v>5171</v>
      </c>
      <c r="B283" s="10" t="s">
        <v>380</v>
      </c>
      <c r="C283" s="10" t="str">
        <f t="shared" si="4"/>
        <v>51</v>
      </c>
      <c r="D283" s="12" t="s">
        <v>58</v>
      </c>
      <c r="E283" s="12">
        <v>2.14</v>
      </c>
      <c r="F283" s="12">
        <v>83.93</v>
      </c>
      <c r="G283" s="12">
        <v>68299000</v>
      </c>
      <c r="H283" s="12">
        <v>7.62</v>
      </c>
      <c r="I283" s="8">
        <v>725314</v>
      </c>
      <c r="J28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4" spans="1:10" x14ac:dyDescent="0.3">
      <c r="A284" s="10">
        <v>5201</v>
      </c>
      <c r="B284" s="10" t="s">
        <v>381</v>
      </c>
      <c r="C284" s="10" t="str">
        <f t="shared" si="4"/>
        <v>52</v>
      </c>
      <c r="D284" s="12" t="s">
        <v>59</v>
      </c>
      <c r="E284" s="12">
        <v>14.28</v>
      </c>
      <c r="F284" s="12">
        <v>68.2</v>
      </c>
      <c r="G284" s="12">
        <v>20254000</v>
      </c>
      <c r="H284" s="12">
        <v>4.58</v>
      </c>
      <c r="I284" s="8">
        <v>721481</v>
      </c>
      <c r="J28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5" spans="1:10" x14ac:dyDescent="0.3">
      <c r="A285" s="10">
        <v>5202</v>
      </c>
      <c r="B285" s="10" t="s">
        <v>382</v>
      </c>
      <c r="C285" s="10" t="str">
        <f t="shared" si="4"/>
        <v>52</v>
      </c>
      <c r="D285" s="12" t="s">
        <v>59</v>
      </c>
      <c r="E285" s="12">
        <v>13.44</v>
      </c>
      <c r="F285" s="12">
        <v>66.430000000000007</v>
      </c>
      <c r="G285" s="12">
        <v>16156000</v>
      </c>
      <c r="H285" s="12">
        <v>3.74</v>
      </c>
      <c r="I285" s="8">
        <v>1034859</v>
      </c>
      <c r="J28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6" spans="1:10" x14ac:dyDescent="0.3">
      <c r="A286" s="10">
        <v>5203</v>
      </c>
      <c r="B286" s="10" t="s">
        <v>383</v>
      </c>
      <c r="C286" s="10" t="str">
        <f t="shared" si="4"/>
        <v>52</v>
      </c>
      <c r="D286" s="12" t="s">
        <v>59</v>
      </c>
      <c r="E286" s="12">
        <v>15.24</v>
      </c>
      <c r="F286" s="12">
        <v>66.3</v>
      </c>
      <c r="G286" s="12">
        <v>15152000</v>
      </c>
      <c r="H286" s="12">
        <v>4.17</v>
      </c>
      <c r="I286" s="8">
        <v>1325240</v>
      </c>
      <c r="J28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7" spans="1:10" x14ac:dyDescent="0.3">
      <c r="A287" s="10">
        <v>5204</v>
      </c>
      <c r="B287" s="10" t="s">
        <v>384</v>
      </c>
      <c r="C287" s="10" t="str">
        <f t="shared" si="4"/>
        <v>52</v>
      </c>
      <c r="D287" s="12" t="s">
        <v>59</v>
      </c>
      <c r="E287" s="12">
        <v>13.65</v>
      </c>
      <c r="F287" s="12">
        <v>67.61</v>
      </c>
      <c r="G287" s="12">
        <v>28442000</v>
      </c>
      <c r="H287" s="12">
        <v>4.01</v>
      </c>
      <c r="I287" s="8">
        <v>509753</v>
      </c>
      <c r="J28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8" spans="1:10" x14ac:dyDescent="0.3">
      <c r="A288" s="10">
        <v>5205</v>
      </c>
      <c r="B288" s="10" t="s">
        <v>385</v>
      </c>
      <c r="C288" s="10" t="str">
        <f t="shared" si="4"/>
        <v>52</v>
      </c>
      <c r="D288" s="12" t="s">
        <v>59</v>
      </c>
      <c r="E288" s="12">
        <v>12.16</v>
      </c>
      <c r="F288" s="12">
        <v>67.84</v>
      </c>
      <c r="G288" s="12">
        <v>29864000</v>
      </c>
      <c r="H288" s="12">
        <v>3.28</v>
      </c>
      <c r="I288" s="8">
        <v>236665</v>
      </c>
      <c r="J28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9" spans="1:10" x14ac:dyDescent="0.3">
      <c r="A289" s="10">
        <v>5206</v>
      </c>
      <c r="B289" s="10" t="s">
        <v>386</v>
      </c>
      <c r="C289" s="10" t="str">
        <f t="shared" si="4"/>
        <v>52</v>
      </c>
      <c r="D289" s="12" t="s">
        <v>59</v>
      </c>
      <c r="E289" s="12">
        <v>14.49</v>
      </c>
      <c r="F289" s="12">
        <v>66.3</v>
      </c>
      <c r="G289" s="12">
        <v>22241000</v>
      </c>
      <c r="H289" s="12">
        <v>2.89</v>
      </c>
      <c r="I289" s="8">
        <v>514105</v>
      </c>
      <c r="J28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0" spans="1:10" x14ac:dyDescent="0.3">
      <c r="A290" s="10">
        <v>5207</v>
      </c>
      <c r="B290" s="10" t="s">
        <v>387</v>
      </c>
      <c r="C290" s="10" t="str">
        <f t="shared" si="4"/>
        <v>52</v>
      </c>
      <c r="D290" s="12" t="s">
        <v>59</v>
      </c>
      <c r="E290" s="12">
        <v>13.34</v>
      </c>
      <c r="F290" s="12">
        <v>71.63</v>
      </c>
      <c r="G290" s="12">
        <v>156835000</v>
      </c>
      <c r="H290" s="12">
        <v>5.5</v>
      </c>
      <c r="I290" s="8">
        <v>145798</v>
      </c>
      <c r="J29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1" spans="1:10" x14ac:dyDescent="0.3">
      <c r="A291" s="10">
        <v>5208</v>
      </c>
      <c r="B291" s="10" t="s">
        <v>388</v>
      </c>
      <c r="C291" s="10" t="str">
        <f t="shared" si="4"/>
        <v>52</v>
      </c>
      <c r="D291" s="12" t="s">
        <v>59</v>
      </c>
      <c r="E291" s="12">
        <v>26.99</v>
      </c>
      <c r="F291" s="12">
        <v>64.42</v>
      </c>
      <c r="G291" s="12">
        <v>18458000</v>
      </c>
      <c r="H291" s="12">
        <v>3.01</v>
      </c>
      <c r="I291" s="8">
        <v>247400</v>
      </c>
      <c r="J29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2" spans="1:10" x14ac:dyDescent="0.3">
      <c r="A292" s="10">
        <v>5271</v>
      </c>
      <c r="B292" s="10" t="s">
        <v>389</v>
      </c>
      <c r="C292" s="10" t="str">
        <f t="shared" si="4"/>
        <v>52</v>
      </c>
      <c r="D292" s="12" t="s">
        <v>59</v>
      </c>
      <c r="E292" s="12">
        <v>8.4700000000000006</v>
      </c>
      <c r="F292" s="12">
        <v>78.91</v>
      </c>
      <c r="G292" s="12">
        <v>43460000</v>
      </c>
      <c r="H292" s="12">
        <v>6.83</v>
      </c>
      <c r="I292" s="8">
        <v>429651</v>
      </c>
      <c r="J29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3" spans="1:10" x14ac:dyDescent="0.3">
      <c r="A293" s="10">
        <v>5272</v>
      </c>
      <c r="B293" s="10" t="s">
        <v>390</v>
      </c>
      <c r="C293" s="10" t="str">
        <f t="shared" si="4"/>
        <v>52</v>
      </c>
      <c r="D293" s="12" t="s">
        <v>59</v>
      </c>
      <c r="E293" s="12">
        <v>8.35</v>
      </c>
      <c r="F293" s="12">
        <v>75.81</v>
      </c>
      <c r="G293" s="12">
        <v>26658000</v>
      </c>
      <c r="H293" s="12">
        <v>4.42</v>
      </c>
      <c r="I293" s="8">
        <v>155140</v>
      </c>
      <c r="J29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4" spans="1:10" x14ac:dyDescent="0.3">
      <c r="A294" s="10">
        <v>5301</v>
      </c>
      <c r="B294" s="10" t="s">
        <v>391</v>
      </c>
      <c r="C294" s="10" t="str">
        <f t="shared" si="4"/>
        <v>53</v>
      </c>
      <c r="D294" s="12" t="s">
        <v>60</v>
      </c>
      <c r="E294" s="12">
        <v>28.17</v>
      </c>
      <c r="F294" s="12">
        <v>63.53</v>
      </c>
      <c r="G294" s="12">
        <v>16313000</v>
      </c>
      <c r="H294" s="12">
        <v>3.96</v>
      </c>
      <c r="I294" s="8">
        <v>145097</v>
      </c>
      <c r="J29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5" spans="1:10" x14ac:dyDescent="0.3">
      <c r="A295" s="10">
        <v>5302</v>
      </c>
      <c r="B295" s="10" t="s">
        <v>392</v>
      </c>
      <c r="C295" s="10" t="str">
        <f t="shared" si="4"/>
        <v>53</v>
      </c>
      <c r="D295" s="12" t="s">
        <v>60</v>
      </c>
      <c r="E295" s="12">
        <v>29.65</v>
      </c>
      <c r="F295" s="12">
        <v>65.52</v>
      </c>
      <c r="G295" s="12">
        <v>25589000</v>
      </c>
      <c r="H295" s="12">
        <v>3.49</v>
      </c>
      <c r="I295" s="8">
        <v>244820</v>
      </c>
      <c r="J29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6" spans="1:10" x14ac:dyDescent="0.3">
      <c r="A296" s="10">
        <v>5303</v>
      </c>
      <c r="B296" s="10" t="s">
        <v>393</v>
      </c>
      <c r="C296" s="10" t="str">
        <f t="shared" si="4"/>
        <v>53</v>
      </c>
      <c r="D296" s="12" t="s">
        <v>60</v>
      </c>
      <c r="E296" s="12">
        <v>22.77</v>
      </c>
      <c r="F296" s="12">
        <v>64.319999999999993</v>
      </c>
      <c r="G296" s="12">
        <v>20938000</v>
      </c>
      <c r="H296" s="12">
        <v>4.9000000000000004</v>
      </c>
      <c r="I296" s="8">
        <v>366383</v>
      </c>
      <c r="J29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7" spans="1:10" x14ac:dyDescent="0.3">
      <c r="A297" s="10">
        <v>5304</v>
      </c>
      <c r="B297" s="10" t="s">
        <v>394</v>
      </c>
      <c r="C297" s="10" t="str">
        <f t="shared" si="4"/>
        <v>53</v>
      </c>
      <c r="D297" s="12" t="s">
        <v>60</v>
      </c>
      <c r="E297" s="12">
        <v>27.49</v>
      </c>
      <c r="F297" s="12">
        <v>62.15</v>
      </c>
      <c r="G297" s="12">
        <v>17452000</v>
      </c>
      <c r="H297" s="12">
        <v>2.63</v>
      </c>
      <c r="I297" s="8">
        <v>455410</v>
      </c>
      <c r="J29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8" spans="1:10" x14ac:dyDescent="0.3">
      <c r="A298" s="10">
        <v>5305</v>
      </c>
      <c r="B298" s="10" t="s">
        <v>395</v>
      </c>
      <c r="C298" s="10" t="str">
        <f t="shared" si="4"/>
        <v>53</v>
      </c>
      <c r="D298" s="12" t="s">
        <v>60</v>
      </c>
      <c r="E298" s="12">
        <v>22.28</v>
      </c>
      <c r="F298" s="12">
        <v>63.53</v>
      </c>
      <c r="G298" s="12">
        <v>15757000</v>
      </c>
      <c r="H298" s="12">
        <v>4.26</v>
      </c>
      <c r="I298" s="8">
        <v>259829</v>
      </c>
      <c r="J29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9" spans="1:10" x14ac:dyDescent="0.3">
      <c r="A299" s="10">
        <v>5306</v>
      </c>
      <c r="B299" s="10" t="s">
        <v>396</v>
      </c>
      <c r="C299" s="10" t="str">
        <f t="shared" si="4"/>
        <v>53</v>
      </c>
      <c r="D299" s="12" t="s">
        <v>60</v>
      </c>
      <c r="E299" s="12">
        <v>15.37</v>
      </c>
      <c r="F299" s="12">
        <v>62.68</v>
      </c>
      <c r="G299" s="12">
        <v>20946000</v>
      </c>
      <c r="H299" s="12">
        <v>7.42</v>
      </c>
      <c r="I299" s="8">
        <v>217973</v>
      </c>
      <c r="J29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0" spans="1:10" x14ac:dyDescent="0.3">
      <c r="A300" s="10">
        <v>5307</v>
      </c>
      <c r="B300" s="10" t="s">
        <v>397</v>
      </c>
      <c r="C300" s="10" t="str">
        <f t="shared" si="4"/>
        <v>53</v>
      </c>
      <c r="D300" s="12" t="s">
        <v>60</v>
      </c>
      <c r="E300" s="12">
        <v>21.09</v>
      </c>
      <c r="F300" s="12">
        <v>61.33</v>
      </c>
      <c r="G300" s="12">
        <v>14445000</v>
      </c>
      <c r="H300" s="12">
        <v>3.11</v>
      </c>
      <c r="I300" s="8">
        <v>211872</v>
      </c>
      <c r="J30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1" spans="1:10" x14ac:dyDescent="0.3">
      <c r="A301" s="10">
        <v>5308</v>
      </c>
      <c r="B301" s="10" t="s">
        <v>398</v>
      </c>
      <c r="C301" s="10" t="str">
        <f t="shared" si="4"/>
        <v>53</v>
      </c>
      <c r="D301" s="12" t="s">
        <v>60</v>
      </c>
      <c r="E301" s="12">
        <v>26.14</v>
      </c>
      <c r="F301" s="12">
        <v>64.739999999999995</v>
      </c>
      <c r="G301" s="12">
        <v>13688000</v>
      </c>
      <c r="H301" s="12">
        <v>4.88</v>
      </c>
      <c r="I301" s="8">
        <v>135930</v>
      </c>
      <c r="J30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2" spans="1:10" x14ac:dyDescent="0.3">
      <c r="A302" s="10">
        <v>5309</v>
      </c>
      <c r="B302" s="10" t="s">
        <v>399</v>
      </c>
      <c r="C302" s="10" t="str">
        <f t="shared" si="4"/>
        <v>53</v>
      </c>
      <c r="D302" s="12" t="s">
        <v>60</v>
      </c>
      <c r="E302" s="12">
        <v>10.84</v>
      </c>
      <c r="F302" s="12">
        <v>64.22</v>
      </c>
      <c r="G302" s="12">
        <v>19110000</v>
      </c>
      <c r="H302" s="12">
        <v>3.16</v>
      </c>
      <c r="I302" s="8">
        <v>276896</v>
      </c>
      <c r="J30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3" spans="1:10" x14ac:dyDescent="0.3">
      <c r="A303" s="10">
        <v>5310</v>
      </c>
      <c r="B303" s="10" t="s">
        <v>400</v>
      </c>
      <c r="C303" s="10" t="str">
        <f t="shared" si="4"/>
        <v>53</v>
      </c>
      <c r="D303" s="12" t="s">
        <v>60</v>
      </c>
      <c r="E303" s="12">
        <v>13.12</v>
      </c>
      <c r="F303" s="12">
        <v>65.11</v>
      </c>
      <c r="G303" s="12">
        <v>15903000</v>
      </c>
      <c r="H303" s="12">
        <v>4</v>
      </c>
      <c r="I303" s="8">
        <v>321953</v>
      </c>
      <c r="J30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4" spans="1:10" x14ac:dyDescent="0.3">
      <c r="A304" s="10">
        <v>5311</v>
      </c>
      <c r="B304" s="10" t="s">
        <v>401</v>
      </c>
      <c r="C304" s="10" t="str">
        <f t="shared" si="4"/>
        <v>53</v>
      </c>
      <c r="D304" s="12" t="s">
        <v>60</v>
      </c>
      <c r="E304" s="12">
        <v>23.76</v>
      </c>
      <c r="F304" s="12">
        <v>67.040000000000006</v>
      </c>
      <c r="G304" s="12">
        <v>22456000</v>
      </c>
      <c r="H304" s="12">
        <v>2.95</v>
      </c>
      <c r="I304" s="8">
        <v>270763</v>
      </c>
      <c r="J30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5" spans="1:10" x14ac:dyDescent="0.3">
      <c r="A305" s="10">
        <v>5312</v>
      </c>
      <c r="B305" s="10" t="s">
        <v>402</v>
      </c>
      <c r="C305" s="10" t="str">
        <f t="shared" si="4"/>
        <v>53</v>
      </c>
      <c r="D305" s="12" t="s">
        <v>60</v>
      </c>
      <c r="E305" s="12">
        <v>12.51</v>
      </c>
      <c r="F305" s="12">
        <v>67.88</v>
      </c>
      <c r="G305" s="12">
        <v>21216000</v>
      </c>
      <c r="H305" s="12">
        <v>4.6900000000000004</v>
      </c>
      <c r="I305" s="8">
        <v>165254</v>
      </c>
      <c r="J30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6" spans="1:10" x14ac:dyDescent="0.3">
      <c r="A306" s="10">
        <v>5313</v>
      </c>
      <c r="B306" s="10" t="s">
        <v>403</v>
      </c>
      <c r="C306" s="10" t="str">
        <f t="shared" si="4"/>
        <v>53</v>
      </c>
      <c r="D306" s="12" t="s">
        <v>60</v>
      </c>
      <c r="E306" s="12">
        <v>20.34</v>
      </c>
      <c r="F306" s="12">
        <v>64.540000000000006</v>
      </c>
      <c r="G306" s="12">
        <v>14874000</v>
      </c>
      <c r="H306" s="12">
        <v>4.09</v>
      </c>
      <c r="I306" s="8">
        <v>312855</v>
      </c>
      <c r="J30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7" spans="1:10" x14ac:dyDescent="0.3">
      <c r="A307" s="10">
        <v>5314</v>
      </c>
      <c r="B307" s="10" t="s">
        <v>404</v>
      </c>
      <c r="C307" s="10" t="str">
        <f t="shared" si="4"/>
        <v>53</v>
      </c>
      <c r="D307" s="12" t="s">
        <v>60</v>
      </c>
      <c r="E307" s="12">
        <v>27.54</v>
      </c>
      <c r="F307" s="12">
        <v>62.39</v>
      </c>
      <c r="G307" s="12">
        <v>22142000</v>
      </c>
      <c r="H307" s="12">
        <v>4.9000000000000004</v>
      </c>
      <c r="I307" s="8">
        <v>143764</v>
      </c>
      <c r="J30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8" spans="1:10" x14ac:dyDescent="0.3">
      <c r="A308" s="10">
        <v>5315</v>
      </c>
      <c r="B308" s="10" t="s">
        <v>405</v>
      </c>
      <c r="C308" s="10" t="str">
        <f t="shared" si="4"/>
        <v>53</v>
      </c>
      <c r="D308" s="12" t="s">
        <v>60</v>
      </c>
      <c r="E308" s="12">
        <v>17.71</v>
      </c>
      <c r="F308" s="12">
        <v>63.89</v>
      </c>
      <c r="G308" s="12">
        <v>13778000</v>
      </c>
      <c r="H308" s="12">
        <v>3.72</v>
      </c>
      <c r="I308" s="8">
        <v>256317</v>
      </c>
      <c r="J30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9" spans="1:10" x14ac:dyDescent="0.3">
      <c r="A309" s="10">
        <v>5316</v>
      </c>
      <c r="B309" s="10" t="s">
        <v>406</v>
      </c>
      <c r="C309" s="10" t="str">
        <f t="shared" si="4"/>
        <v>53</v>
      </c>
      <c r="D309" s="12" t="s">
        <v>60</v>
      </c>
      <c r="E309" s="12">
        <v>34.49</v>
      </c>
      <c r="F309" s="12">
        <v>61.53</v>
      </c>
      <c r="G309" s="12">
        <v>14098000</v>
      </c>
      <c r="H309" s="12">
        <v>4.0199999999999996</v>
      </c>
      <c r="I309" s="8">
        <v>85482</v>
      </c>
      <c r="J30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0" spans="1:10" x14ac:dyDescent="0.3">
      <c r="A310" s="10">
        <v>5317</v>
      </c>
      <c r="B310" s="10" t="s">
        <v>407</v>
      </c>
      <c r="C310" s="10" t="str">
        <f t="shared" si="4"/>
        <v>53</v>
      </c>
      <c r="D310" s="12" t="s">
        <v>60</v>
      </c>
      <c r="E310" s="12">
        <v>28</v>
      </c>
      <c r="F310" s="12">
        <v>62.28</v>
      </c>
      <c r="G310" s="12">
        <v>12431000</v>
      </c>
      <c r="H310" s="12">
        <v>2.36</v>
      </c>
      <c r="I310" s="8">
        <v>303650</v>
      </c>
      <c r="J31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1" spans="1:10" x14ac:dyDescent="0.3">
      <c r="A311" s="10">
        <v>5318</v>
      </c>
      <c r="B311" s="10" t="s">
        <v>408</v>
      </c>
      <c r="C311" s="10" t="str">
        <f t="shared" si="4"/>
        <v>53</v>
      </c>
      <c r="D311" s="12" t="s">
        <v>60</v>
      </c>
      <c r="E311" s="12">
        <v>12.61</v>
      </c>
      <c r="F311" s="12">
        <v>65.81</v>
      </c>
      <c r="G311" s="12">
        <v>14294000</v>
      </c>
      <c r="H311" s="12">
        <v>3.09</v>
      </c>
      <c r="I311" s="8">
        <v>159732</v>
      </c>
      <c r="J31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2" spans="1:10" x14ac:dyDescent="0.3">
      <c r="A312" s="10">
        <v>5319</v>
      </c>
      <c r="B312" s="10" t="s">
        <v>409</v>
      </c>
      <c r="C312" s="10" t="str">
        <f t="shared" si="4"/>
        <v>53</v>
      </c>
      <c r="D312" s="12" t="s">
        <v>60</v>
      </c>
      <c r="E312" s="12">
        <v>26.52</v>
      </c>
      <c r="F312" s="12">
        <v>60.85</v>
      </c>
      <c r="G312" s="12">
        <v>11957000</v>
      </c>
      <c r="H312" s="12">
        <v>2.1</v>
      </c>
      <c r="I312" s="8">
        <v>275603</v>
      </c>
      <c r="J31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3" spans="1:10" x14ac:dyDescent="0.3">
      <c r="A313" s="10">
        <v>5320</v>
      </c>
      <c r="B313" s="10" t="s">
        <v>410</v>
      </c>
      <c r="C313" s="10" t="str">
        <f t="shared" si="4"/>
        <v>53</v>
      </c>
      <c r="D313" s="12" t="s">
        <v>60</v>
      </c>
      <c r="E313" s="12">
        <v>30.18</v>
      </c>
      <c r="F313" s="12">
        <v>57.02</v>
      </c>
      <c r="G313" s="12">
        <v>15913000</v>
      </c>
      <c r="H313" s="12">
        <v>3.08</v>
      </c>
      <c r="I313" s="8">
        <v>89327</v>
      </c>
      <c r="J31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4" spans="1:10" x14ac:dyDescent="0.3">
      <c r="A314" s="10">
        <v>5321</v>
      </c>
      <c r="B314" s="10" t="s">
        <v>411</v>
      </c>
      <c r="C314" s="10" t="str">
        <f t="shared" si="4"/>
        <v>53</v>
      </c>
      <c r="D314" s="12" t="s">
        <v>60</v>
      </c>
      <c r="E314" s="12">
        <v>16.04</v>
      </c>
      <c r="F314" s="12">
        <v>60.21</v>
      </c>
      <c r="G314" s="12">
        <v>15445000</v>
      </c>
      <c r="H314" s="12">
        <v>3.63</v>
      </c>
      <c r="I314" s="8">
        <v>183898</v>
      </c>
      <c r="J31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5" spans="1:10" x14ac:dyDescent="0.3">
      <c r="A315" s="10">
        <v>5371</v>
      </c>
      <c r="B315" s="10" t="s">
        <v>412</v>
      </c>
      <c r="C315" s="10" t="str">
        <f t="shared" si="4"/>
        <v>53</v>
      </c>
      <c r="D315" s="12" t="s">
        <v>60</v>
      </c>
      <c r="E315" s="12">
        <v>8.9600000000000009</v>
      </c>
      <c r="F315" s="12">
        <v>79.709999999999994</v>
      </c>
      <c r="G315" s="12">
        <v>54374000</v>
      </c>
      <c r="H315" s="12">
        <v>10.9</v>
      </c>
      <c r="I315" s="8">
        <v>442758</v>
      </c>
      <c r="J31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6" spans="1:10" x14ac:dyDescent="0.3">
      <c r="A316" s="10">
        <v>6101</v>
      </c>
      <c r="B316" s="10" t="s">
        <v>413</v>
      </c>
      <c r="C316" s="10" t="str">
        <f t="shared" si="4"/>
        <v>61</v>
      </c>
      <c r="D316" s="12" t="s">
        <v>61</v>
      </c>
      <c r="E316" s="12">
        <v>7.7</v>
      </c>
      <c r="F316" s="12">
        <v>67.03</v>
      </c>
      <c r="G316" s="12">
        <v>32927000</v>
      </c>
      <c r="H316" s="12">
        <v>3.71</v>
      </c>
      <c r="I316" s="8">
        <v>629905</v>
      </c>
      <c r="J31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7" spans="1:10" x14ac:dyDescent="0.3">
      <c r="A317" s="10">
        <v>6102</v>
      </c>
      <c r="B317" s="10" t="s">
        <v>414</v>
      </c>
      <c r="C317" s="10" t="str">
        <f t="shared" si="4"/>
        <v>61</v>
      </c>
      <c r="D317" s="12" t="s">
        <v>61</v>
      </c>
      <c r="E317" s="12">
        <v>6.62</v>
      </c>
      <c r="F317" s="12">
        <v>67.87</v>
      </c>
      <c r="G317" s="12">
        <v>30426000</v>
      </c>
      <c r="H317" s="12">
        <v>3.91</v>
      </c>
      <c r="I317" s="8">
        <v>286366</v>
      </c>
      <c r="J31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8" spans="1:10" x14ac:dyDescent="0.3">
      <c r="A318" s="10">
        <v>6103</v>
      </c>
      <c r="B318" s="10" t="s">
        <v>415</v>
      </c>
      <c r="C318" s="10" t="str">
        <f t="shared" si="4"/>
        <v>61</v>
      </c>
      <c r="D318" s="12" t="s">
        <v>61</v>
      </c>
      <c r="E318" s="12">
        <v>11.12</v>
      </c>
      <c r="F318" s="12">
        <v>65.98</v>
      </c>
      <c r="G318" s="12">
        <v>27067000</v>
      </c>
      <c r="H318" s="12">
        <v>3.38</v>
      </c>
      <c r="I318" s="8">
        <v>397610</v>
      </c>
      <c r="J31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9" spans="1:10" x14ac:dyDescent="0.3">
      <c r="A319" s="10">
        <v>6104</v>
      </c>
      <c r="B319" s="10" t="s">
        <v>416</v>
      </c>
      <c r="C319" s="10" t="str">
        <f t="shared" si="4"/>
        <v>61</v>
      </c>
      <c r="D319" s="12" t="s">
        <v>61</v>
      </c>
      <c r="E319" s="12">
        <v>4.95</v>
      </c>
      <c r="F319" s="12">
        <v>65.739999999999995</v>
      </c>
      <c r="G319" s="12">
        <v>28445000</v>
      </c>
      <c r="H319" s="12">
        <v>7.55</v>
      </c>
      <c r="I319" s="8">
        <v>301560</v>
      </c>
      <c r="J31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0" spans="1:10" x14ac:dyDescent="0.3">
      <c r="A320" s="10">
        <v>6105</v>
      </c>
      <c r="B320" s="10" t="s">
        <v>417</v>
      </c>
      <c r="C320" s="10" t="str">
        <f t="shared" si="4"/>
        <v>61</v>
      </c>
      <c r="D320" s="12" t="s">
        <v>61</v>
      </c>
      <c r="E320" s="12">
        <v>4.46</v>
      </c>
      <c r="F320" s="12">
        <v>65.77</v>
      </c>
      <c r="G320" s="12">
        <v>41161000</v>
      </c>
      <c r="H320" s="12">
        <v>3.52</v>
      </c>
      <c r="I320" s="8">
        <v>484836</v>
      </c>
      <c r="J32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1" spans="1:10" x14ac:dyDescent="0.3">
      <c r="A321" s="10">
        <v>6106</v>
      </c>
      <c r="B321" s="10" t="s">
        <v>418</v>
      </c>
      <c r="C321" s="10" t="str">
        <f t="shared" si="4"/>
        <v>61</v>
      </c>
      <c r="D321" s="12" t="s">
        <v>61</v>
      </c>
      <c r="E321" s="12">
        <v>10.29</v>
      </c>
      <c r="F321" s="12">
        <v>67.17</v>
      </c>
      <c r="G321" s="12">
        <v>49485000</v>
      </c>
      <c r="H321" s="12">
        <v>7.3</v>
      </c>
      <c r="I321" s="8">
        <v>570657</v>
      </c>
      <c r="J32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2" spans="1:10" x14ac:dyDescent="0.3">
      <c r="A322" s="10">
        <v>6107</v>
      </c>
      <c r="B322" s="10" t="s">
        <v>419</v>
      </c>
      <c r="C322" s="10" t="str">
        <f t="shared" ref="C322:C385" si="5">LEFT(A322,2)</f>
        <v>61</v>
      </c>
      <c r="D322" s="12" t="s">
        <v>61</v>
      </c>
      <c r="E322" s="12">
        <v>9.27</v>
      </c>
      <c r="F322" s="12">
        <v>66.88</v>
      </c>
      <c r="G322" s="12">
        <v>34955000</v>
      </c>
      <c r="H322" s="12">
        <v>4.5</v>
      </c>
      <c r="I322" s="8">
        <v>421306</v>
      </c>
      <c r="J32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3" spans="1:10" x14ac:dyDescent="0.3">
      <c r="A323" s="10">
        <v>6108</v>
      </c>
      <c r="B323" s="10" t="s">
        <v>420</v>
      </c>
      <c r="C323" s="10" t="str">
        <f t="shared" si="5"/>
        <v>61</v>
      </c>
      <c r="D323" s="12" t="s">
        <v>61</v>
      </c>
      <c r="E323" s="12">
        <v>8.99</v>
      </c>
      <c r="F323" s="12">
        <v>65.69</v>
      </c>
      <c r="G323" s="12">
        <v>40698000</v>
      </c>
      <c r="H323" s="12">
        <v>4.0199999999999996</v>
      </c>
      <c r="I323" s="8">
        <v>252609</v>
      </c>
      <c r="J32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4" spans="1:10" x14ac:dyDescent="0.3">
      <c r="A324" s="10">
        <v>6109</v>
      </c>
      <c r="B324" s="10" t="s">
        <v>421</v>
      </c>
      <c r="C324" s="10" t="str">
        <f t="shared" si="5"/>
        <v>61</v>
      </c>
      <c r="D324" s="12" t="s">
        <v>61</v>
      </c>
      <c r="E324" s="12">
        <v>5.87</v>
      </c>
      <c r="F324" s="12">
        <v>64.760000000000005</v>
      </c>
      <c r="G324" s="12">
        <v>31089000</v>
      </c>
      <c r="H324" s="12">
        <v>3.39</v>
      </c>
      <c r="I324" s="8">
        <v>211559</v>
      </c>
      <c r="J32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5" spans="1:10" x14ac:dyDescent="0.3">
      <c r="A325" s="10">
        <v>6110</v>
      </c>
      <c r="B325" s="10" t="s">
        <v>422</v>
      </c>
      <c r="C325" s="10" t="str">
        <f t="shared" si="5"/>
        <v>61</v>
      </c>
      <c r="D325" s="12" t="s">
        <v>61</v>
      </c>
      <c r="E325" s="12">
        <v>12.04</v>
      </c>
      <c r="F325" s="12">
        <v>65.55</v>
      </c>
      <c r="G325" s="12">
        <v>23004000</v>
      </c>
      <c r="H325" s="12">
        <v>2.7</v>
      </c>
      <c r="I325" s="8">
        <v>228270</v>
      </c>
      <c r="J32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6" spans="1:10" x14ac:dyDescent="0.3">
      <c r="A326" s="10">
        <v>6111</v>
      </c>
      <c r="B326" s="10" t="s">
        <v>423</v>
      </c>
      <c r="C326" s="10" t="str">
        <f t="shared" si="5"/>
        <v>61</v>
      </c>
      <c r="D326" s="12" t="s">
        <v>61</v>
      </c>
      <c r="E326" s="12">
        <v>9.56</v>
      </c>
      <c r="F326" s="12">
        <v>62.68</v>
      </c>
      <c r="G326" s="12">
        <v>33386000</v>
      </c>
      <c r="H326" s="12">
        <v>3.71</v>
      </c>
      <c r="I326" s="8">
        <v>126571</v>
      </c>
      <c r="J32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7" spans="1:10" x14ac:dyDescent="0.3">
      <c r="A327" s="10">
        <v>6112</v>
      </c>
      <c r="B327" s="10" t="s">
        <v>424</v>
      </c>
      <c r="C327" s="10" t="str">
        <f t="shared" si="5"/>
        <v>61</v>
      </c>
      <c r="D327" s="12" t="s">
        <v>61</v>
      </c>
      <c r="E327" s="12">
        <v>4.42</v>
      </c>
      <c r="F327" s="12">
        <v>67.95</v>
      </c>
      <c r="G327" s="12">
        <v>47586000</v>
      </c>
      <c r="H327" s="12">
        <v>7.14</v>
      </c>
      <c r="I327" s="8">
        <v>609392</v>
      </c>
      <c r="J32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8" spans="1:10" x14ac:dyDescent="0.3">
      <c r="A328" s="10">
        <v>6171</v>
      </c>
      <c r="B328" s="10" t="s">
        <v>425</v>
      </c>
      <c r="C328" s="10" t="str">
        <f t="shared" si="5"/>
        <v>61</v>
      </c>
      <c r="D328" s="12" t="s">
        <v>61</v>
      </c>
      <c r="E328" s="12">
        <v>4.7</v>
      </c>
      <c r="F328" s="12">
        <v>79.44</v>
      </c>
      <c r="G328" s="12">
        <v>57257000</v>
      </c>
      <c r="H328" s="12">
        <v>12.36</v>
      </c>
      <c r="I328" s="8">
        <v>658685</v>
      </c>
      <c r="J32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9" spans="1:10" x14ac:dyDescent="0.3">
      <c r="A329" s="10">
        <v>6172</v>
      </c>
      <c r="B329" s="10" t="s">
        <v>426</v>
      </c>
      <c r="C329" s="10" t="str">
        <f t="shared" si="5"/>
        <v>61</v>
      </c>
      <c r="D329" s="12" t="s">
        <v>61</v>
      </c>
      <c r="E329" s="12">
        <v>4.53</v>
      </c>
      <c r="F329" s="12">
        <v>71.94</v>
      </c>
      <c r="G329" s="12">
        <v>43219000</v>
      </c>
      <c r="H329" s="12">
        <v>8.7799999999999994</v>
      </c>
      <c r="I329" s="8">
        <v>235064</v>
      </c>
      <c r="J32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0" spans="1:10" x14ac:dyDescent="0.3">
      <c r="A330" s="10">
        <v>6201</v>
      </c>
      <c r="B330" s="10" t="s">
        <v>427</v>
      </c>
      <c r="C330" s="10" t="str">
        <f t="shared" si="5"/>
        <v>62</v>
      </c>
      <c r="D330" s="12" t="s">
        <v>62</v>
      </c>
      <c r="E330" s="12">
        <v>3.59</v>
      </c>
      <c r="F330" s="12">
        <v>72.87</v>
      </c>
      <c r="G330" s="12">
        <v>75984000</v>
      </c>
      <c r="H330" s="12">
        <v>4.76</v>
      </c>
      <c r="I330" s="8">
        <v>270388</v>
      </c>
      <c r="J33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1" spans="1:10" x14ac:dyDescent="0.3">
      <c r="A331" s="10">
        <v>6202</v>
      </c>
      <c r="B331" s="10" t="s">
        <v>428</v>
      </c>
      <c r="C331" s="10" t="str">
        <f t="shared" si="5"/>
        <v>62</v>
      </c>
      <c r="D331" s="12" t="s">
        <v>62</v>
      </c>
      <c r="E331" s="12">
        <v>5.62</v>
      </c>
      <c r="F331" s="12">
        <v>71.31</v>
      </c>
      <c r="G331" s="12">
        <v>63015000</v>
      </c>
      <c r="H331" s="12">
        <v>5.25</v>
      </c>
      <c r="I331" s="8">
        <v>428895</v>
      </c>
      <c r="J33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2" spans="1:10" x14ac:dyDescent="0.3">
      <c r="A332" s="10">
        <v>6203</v>
      </c>
      <c r="B332" s="10" t="s">
        <v>429</v>
      </c>
      <c r="C332" s="10" t="str">
        <f t="shared" si="5"/>
        <v>62</v>
      </c>
      <c r="D332" s="12" t="s">
        <v>62</v>
      </c>
      <c r="E332" s="12">
        <v>5.04</v>
      </c>
      <c r="F332" s="12">
        <v>69.48</v>
      </c>
      <c r="G332" s="12">
        <v>40488000</v>
      </c>
      <c r="H332" s="12">
        <v>4.9800000000000004</v>
      </c>
      <c r="I332" s="8">
        <v>410446</v>
      </c>
      <c r="J33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3" spans="1:10" x14ac:dyDescent="0.3">
      <c r="A333" s="10">
        <v>6204</v>
      </c>
      <c r="B333" s="10" t="s">
        <v>430</v>
      </c>
      <c r="C333" s="10" t="str">
        <f t="shared" si="5"/>
        <v>62</v>
      </c>
      <c r="D333" s="12" t="s">
        <v>62</v>
      </c>
      <c r="E333" s="12">
        <v>4.45</v>
      </c>
      <c r="F333" s="12">
        <v>70.22</v>
      </c>
      <c r="G333" s="12">
        <v>47855000</v>
      </c>
      <c r="H333" s="12">
        <v>4.21</v>
      </c>
      <c r="I333" s="8">
        <v>131140</v>
      </c>
      <c r="J33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4" spans="1:10" x14ac:dyDescent="0.3">
      <c r="A334" s="10">
        <v>6205</v>
      </c>
      <c r="B334" s="10" t="s">
        <v>431</v>
      </c>
      <c r="C334" s="10" t="str">
        <f t="shared" si="5"/>
        <v>62</v>
      </c>
      <c r="D334" s="12" t="s">
        <v>62</v>
      </c>
      <c r="E334" s="12">
        <v>5.17</v>
      </c>
      <c r="F334" s="12">
        <v>70.59</v>
      </c>
      <c r="G334" s="12">
        <v>60894000</v>
      </c>
      <c r="H334" s="12">
        <v>5.29</v>
      </c>
      <c r="I334" s="8">
        <v>154812</v>
      </c>
      <c r="J33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5" spans="1:10" x14ac:dyDescent="0.3">
      <c r="A335" s="10">
        <v>6206</v>
      </c>
      <c r="B335" s="10" t="s">
        <v>432</v>
      </c>
      <c r="C335" s="10" t="str">
        <f t="shared" si="5"/>
        <v>62</v>
      </c>
      <c r="D335" s="12" t="s">
        <v>62</v>
      </c>
      <c r="E335" s="12">
        <v>3.23</v>
      </c>
      <c r="F335" s="12">
        <v>68.03</v>
      </c>
      <c r="G335" s="12">
        <v>70117000</v>
      </c>
      <c r="H335" s="12">
        <v>4.7</v>
      </c>
      <c r="I335" s="8">
        <v>63464</v>
      </c>
      <c r="J33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6" spans="1:10" x14ac:dyDescent="0.3">
      <c r="A336" s="10">
        <v>6207</v>
      </c>
      <c r="B336" s="10" t="s">
        <v>433</v>
      </c>
      <c r="C336" s="10" t="str">
        <f t="shared" si="5"/>
        <v>62</v>
      </c>
      <c r="D336" s="12" t="s">
        <v>62</v>
      </c>
      <c r="E336" s="12">
        <v>3.09</v>
      </c>
      <c r="F336" s="12">
        <v>70.510000000000005</v>
      </c>
      <c r="G336" s="12">
        <v>59672000</v>
      </c>
      <c r="H336" s="12">
        <v>2.83</v>
      </c>
      <c r="I336" s="8">
        <v>97611</v>
      </c>
      <c r="J33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7" spans="1:10" x14ac:dyDescent="0.3">
      <c r="A337" s="10">
        <v>6208</v>
      </c>
      <c r="B337" s="10" t="s">
        <v>434</v>
      </c>
      <c r="C337" s="10" t="str">
        <f t="shared" si="5"/>
        <v>62</v>
      </c>
      <c r="D337" s="12" t="s">
        <v>62</v>
      </c>
      <c r="E337" s="12">
        <v>6.85</v>
      </c>
      <c r="F337" s="12">
        <v>67.58</v>
      </c>
      <c r="G337" s="12">
        <v>53907000</v>
      </c>
      <c r="H337" s="12">
        <v>4.3</v>
      </c>
      <c r="I337" s="8">
        <v>162906</v>
      </c>
      <c r="J33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8" spans="1:10" x14ac:dyDescent="0.3">
      <c r="A338" s="10">
        <v>6209</v>
      </c>
      <c r="B338" s="10" t="s">
        <v>435</v>
      </c>
      <c r="C338" s="10" t="str">
        <f t="shared" si="5"/>
        <v>62</v>
      </c>
      <c r="D338" s="12" t="s">
        <v>62</v>
      </c>
      <c r="E338" s="12">
        <v>4.79</v>
      </c>
      <c r="F338" s="12">
        <v>68.680000000000007</v>
      </c>
      <c r="G338" s="12">
        <v>51161000</v>
      </c>
      <c r="H338" s="12">
        <v>5.69</v>
      </c>
      <c r="I338" s="8">
        <v>162222</v>
      </c>
      <c r="J33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9" spans="1:10" x14ac:dyDescent="0.3">
      <c r="A339" s="10">
        <v>6210</v>
      </c>
      <c r="B339" s="10" t="s">
        <v>436</v>
      </c>
      <c r="C339" s="10" t="str">
        <f t="shared" si="5"/>
        <v>62</v>
      </c>
      <c r="D339" s="12" t="s">
        <v>62</v>
      </c>
      <c r="E339" s="12">
        <v>4.09</v>
      </c>
      <c r="F339" s="12">
        <v>68.45</v>
      </c>
      <c r="G339" s="12">
        <v>41574000</v>
      </c>
      <c r="H339" s="12">
        <v>2.63</v>
      </c>
      <c r="I339" s="8">
        <v>134499</v>
      </c>
      <c r="J33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0" spans="1:10" x14ac:dyDescent="0.3">
      <c r="A340" s="10">
        <v>6211</v>
      </c>
      <c r="B340" s="10" t="s">
        <v>437</v>
      </c>
      <c r="C340" s="10" t="str">
        <f t="shared" si="5"/>
        <v>62</v>
      </c>
      <c r="D340" s="12" t="s">
        <v>62</v>
      </c>
      <c r="E340" s="12">
        <v>4.75</v>
      </c>
      <c r="F340" s="12">
        <v>70.81</v>
      </c>
      <c r="G340" s="12">
        <v>46638000</v>
      </c>
      <c r="H340" s="12">
        <v>2.4900000000000002</v>
      </c>
      <c r="I340" s="8">
        <v>135373</v>
      </c>
      <c r="J34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1" spans="1:10" x14ac:dyDescent="0.3">
      <c r="A341" s="10">
        <v>6212</v>
      </c>
      <c r="B341" s="10" t="s">
        <v>438</v>
      </c>
      <c r="C341" s="10" t="str">
        <f t="shared" si="5"/>
        <v>62</v>
      </c>
      <c r="D341" s="12" t="s">
        <v>62</v>
      </c>
      <c r="E341" s="12">
        <v>6.09</v>
      </c>
      <c r="F341" s="12">
        <v>71.39</v>
      </c>
      <c r="G341" s="12">
        <v>62831000</v>
      </c>
      <c r="H341" s="12">
        <v>2.91</v>
      </c>
      <c r="I341" s="8">
        <v>113229</v>
      </c>
      <c r="J34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2" spans="1:10" x14ac:dyDescent="0.3">
      <c r="A342" s="10">
        <v>6213</v>
      </c>
      <c r="B342" s="10" t="s">
        <v>439</v>
      </c>
      <c r="C342" s="10" t="str">
        <f t="shared" si="5"/>
        <v>62</v>
      </c>
      <c r="D342" s="12" t="s">
        <v>62</v>
      </c>
      <c r="E342" s="12">
        <v>5.85</v>
      </c>
      <c r="F342" s="12">
        <v>67.98</v>
      </c>
      <c r="G342" s="12">
        <v>69690000</v>
      </c>
      <c r="H342" s="12">
        <v>3.1</v>
      </c>
      <c r="I342" s="8">
        <v>111527</v>
      </c>
      <c r="J34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3" spans="1:10" x14ac:dyDescent="0.3">
      <c r="A343" s="10">
        <v>6271</v>
      </c>
      <c r="B343" s="10" t="s">
        <v>440</v>
      </c>
      <c r="C343" s="10" t="str">
        <f t="shared" si="5"/>
        <v>62</v>
      </c>
      <c r="D343" s="12" t="s">
        <v>62</v>
      </c>
      <c r="E343" s="12">
        <v>3.44</v>
      </c>
      <c r="F343" s="12">
        <v>80.77</v>
      </c>
      <c r="G343" s="12">
        <v>62584000</v>
      </c>
      <c r="H343" s="12">
        <v>5.95</v>
      </c>
      <c r="I343" s="8">
        <v>293457</v>
      </c>
      <c r="J34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4" spans="1:10" x14ac:dyDescent="0.3">
      <c r="A344" s="10">
        <v>6301</v>
      </c>
      <c r="B344" s="10" t="s">
        <v>441</v>
      </c>
      <c r="C344" s="10" t="str">
        <f t="shared" si="5"/>
        <v>63</v>
      </c>
      <c r="D344" s="12" t="s">
        <v>63</v>
      </c>
      <c r="E344" s="12">
        <v>4.26</v>
      </c>
      <c r="F344" s="12">
        <v>69.38</v>
      </c>
      <c r="G344" s="12">
        <v>39660000</v>
      </c>
      <c r="H344" s="12">
        <v>3.57</v>
      </c>
      <c r="I344" s="8">
        <v>348966</v>
      </c>
      <c r="J34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5" spans="1:10" x14ac:dyDescent="0.3">
      <c r="A345" s="10">
        <v>6302</v>
      </c>
      <c r="B345" s="10" t="s">
        <v>442</v>
      </c>
      <c r="C345" s="10" t="str">
        <f t="shared" si="5"/>
        <v>63</v>
      </c>
      <c r="D345" s="12" t="s">
        <v>63</v>
      </c>
      <c r="E345" s="12">
        <v>4.22</v>
      </c>
      <c r="F345" s="12">
        <v>68.86</v>
      </c>
      <c r="G345" s="12">
        <v>73768000</v>
      </c>
      <c r="H345" s="12">
        <v>4.96</v>
      </c>
      <c r="I345" s="8">
        <v>325622</v>
      </c>
      <c r="J34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6" spans="1:10" x14ac:dyDescent="0.3">
      <c r="A346" s="10">
        <v>6303</v>
      </c>
      <c r="B346" s="10" t="s">
        <v>443</v>
      </c>
      <c r="C346" s="10" t="str">
        <f t="shared" si="5"/>
        <v>63</v>
      </c>
      <c r="D346" s="12" t="s">
        <v>63</v>
      </c>
      <c r="E346" s="12">
        <v>2.5499999999999998</v>
      </c>
      <c r="F346" s="12">
        <v>69.180000000000007</v>
      </c>
      <c r="G346" s="12">
        <v>29293000</v>
      </c>
      <c r="H346" s="12">
        <v>3.87</v>
      </c>
      <c r="I346" s="8">
        <v>565635</v>
      </c>
      <c r="J34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7" spans="1:10" x14ac:dyDescent="0.3">
      <c r="A347" s="10">
        <v>6304</v>
      </c>
      <c r="B347" s="10" t="s">
        <v>444</v>
      </c>
      <c r="C347" s="10" t="str">
        <f t="shared" si="5"/>
        <v>63</v>
      </c>
      <c r="D347" s="12" t="s">
        <v>63</v>
      </c>
      <c r="E347" s="12">
        <v>4.51</v>
      </c>
      <c r="F347" s="12">
        <v>66.22</v>
      </c>
      <c r="G347" s="12">
        <v>27908000</v>
      </c>
      <c r="H347" s="12">
        <v>2.93</v>
      </c>
      <c r="I347" s="8">
        <v>313021</v>
      </c>
      <c r="J34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8" spans="1:10" x14ac:dyDescent="0.3">
      <c r="A348" s="10">
        <v>6305</v>
      </c>
      <c r="B348" s="10" t="s">
        <v>445</v>
      </c>
      <c r="C348" s="10" t="str">
        <f t="shared" si="5"/>
        <v>63</v>
      </c>
      <c r="D348" s="12" t="s">
        <v>63</v>
      </c>
      <c r="E348" s="12">
        <v>3.06</v>
      </c>
      <c r="F348" s="12">
        <v>70.11</v>
      </c>
      <c r="G348" s="12">
        <v>44425000</v>
      </c>
      <c r="H348" s="12">
        <v>3.73</v>
      </c>
      <c r="I348" s="8">
        <v>189475</v>
      </c>
      <c r="J34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9" spans="1:10" x14ac:dyDescent="0.3">
      <c r="A349" s="10">
        <v>6306</v>
      </c>
      <c r="B349" s="10" t="s">
        <v>446</v>
      </c>
      <c r="C349" s="10" t="str">
        <f t="shared" si="5"/>
        <v>63</v>
      </c>
      <c r="D349" s="12" t="s">
        <v>63</v>
      </c>
      <c r="E349" s="12">
        <v>5.17</v>
      </c>
      <c r="F349" s="12">
        <v>68.849999999999994</v>
      </c>
      <c r="G349" s="12">
        <v>28837000</v>
      </c>
      <c r="H349" s="12">
        <v>2.2400000000000002</v>
      </c>
      <c r="I349" s="8">
        <v>228006</v>
      </c>
      <c r="J34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0" spans="1:10" x14ac:dyDescent="0.3">
      <c r="A350" s="10">
        <v>6307</v>
      </c>
      <c r="B350" s="10" t="s">
        <v>447</v>
      </c>
      <c r="C350" s="10" t="str">
        <f t="shared" si="5"/>
        <v>63</v>
      </c>
      <c r="D350" s="12" t="s">
        <v>63</v>
      </c>
      <c r="E350" s="12">
        <v>5.64</v>
      </c>
      <c r="F350" s="12">
        <v>68.84</v>
      </c>
      <c r="G350" s="12">
        <v>27294000</v>
      </c>
      <c r="H350" s="12">
        <v>3.9</v>
      </c>
      <c r="I350" s="8">
        <v>258721</v>
      </c>
      <c r="J35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1" spans="1:10" x14ac:dyDescent="0.3">
      <c r="A351" s="10">
        <v>6308</v>
      </c>
      <c r="B351" s="10" t="s">
        <v>448</v>
      </c>
      <c r="C351" s="10" t="str">
        <f t="shared" si="5"/>
        <v>63</v>
      </c>
      <c r="D351" s="12" t="s">
        <v>63</v>
      </c>
      <c r="E351" s="12">
        <v>6.14</v>
      </c>
      <c r="F351" s="12">
        <v>65.59</v>
      </c>
      <c r="G351" s="12">
        <v>21954000</v>
      </c>
      <c r="H351" s="12">
        <v>4.49</v>
      </c>
      <c r="I351" s="8">
        <v>226727</v>
      </c>
      <c r="J35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2" spans="1:10" x14ac:dyDescent="0.3">
      <c r="A352" s="10">
        <v>6309</v>
      </c>
      <c r="B352" s="10" t="s">
        <v>449</v>
      </c>
      <c r="C352" s="10" t="str">
        <f t="shared" si="5"/>
        <v>63</v>
      </c>
      <c r="D352" s="12" t="s">
        <v>63</v>
      </c>
      <c r="E352" s="12">
        <v>5.72</v>
      </c>
      <c r="F352" s="12">
        <v>72.19</v>
      </c>
      <c r="G352" s="12">
        <v>70285000</v>
      </c>
      <c r="H352" s="12">
        <v>3.07</v>
      </c>
      <c r="I352" s="8">
        <v>253305</v>
      </c>
      <c r="J35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3" spans="1:10" x14ac:dyDescent="0.3">
      <c r="A353" s="10">
        <v>6310</v>
      </c>
      <c r="B353" s="10" t="s">
        <v>450</v>
      </c>
      <c r="C353" s="10" t="str">
        <f t="shared" si="5"/>
        <v>63</v>
      </c>
      <c r="D353" s="12" t="s">
        <v>63</v>
      </c>
      <c r="E353" s="12">
        <v>4.5999999999999996</v>
      </c>
      <c r="F353" s="12">
        <v>70.709999999999994</v>
      </c>
      <c r="G353" s="12">
        <v>61949000</v>
      </c>
      <c r="H353" s="12">
        <v>6.95</v>
      </c>
      <c r="I353" s="8">
        <v>322646</v>
      </c>
      <c r="J35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4" spans="1:10" x14ac:dyDescent="0.3">
      <c r="A354" s="10">
        <v>6311</v>
      </c>
      <c r="B354" s="10" t="s">
        <v>451</v>
      </c>
      <c r="C354" s="10" t="str">
        <f t="shared" si="5"/>
        <v>63</v>
      </c>
      <c r="D354" s="12" t="s">
        <v>63</v>
      </c>
      <c r="E354" s="12">
        <v>5.32</v>
      </c>
      <c r="F354" s="12">
        <v>68.819999999999993</v>
      </c>
      <c r="G354" s="12">
        <v>82540000</v>
      </c>
      <c r="H354" s="12">
        <v>2.46</v>
      </c>
      <c r="I354" s="8">
        <v>130355</v>
      </c>
      <c r="J35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5" spans="1:10" x14ac:dyDescent="0.3">
      <c r="A355" s="10">
        <v>6371</v>
      </c>
      <c r="B355" s="10" t="s">
        <v>452</v>
      </c>
      <c r="C355" s="10" t="str">
        <f t="shared" si="5"/>
        <v>63</v>
      </c>
      <c r="D355" s="12" t="s">
        <v>63</v>
      </c>
      <c r="E355" s="12">
        <v>4.3899999999999997</v>
      </c>
      <c r="F355" s="12">
        <v>77.099999999999994</v>
      </c>
      <c r="G355" s="12">
        <v>49815000</v>
      </c>
      <c r="H355" s="12">
        <v>8.32</v>
      </c>
      <c r="I355" s="8">
        <v>657663</v>
      </c>
      <c r="J35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6" spans="1:10" x14ac:dyDescent="0.3">
      <c r="A356" s="10">
        <v>6372</v>
      </c>
      <c r="B356" s="10" t="s">
        <v>453</v>
      </c>
      <c r="C356" s="10" t="str">
        <f t="shared" si="5"/>
        <v>63</v>
      </c>
      <c r="D356" s="12" t="s">
        <v>63</v>
      </c>
      <c r="E356" s="12">
        <v>4.01</v>
      </c>
      <c r="F356" s="12">
        <v>79.099999999999994</v>
      </c>
      <c r="G356" s="12">
        <v>37852000</v>
      </c>
      <c r="H356" s="12">
        <v>5.54</v>
      </c>
      <c r="I356" s="8">
        <v>253442</v>
      </c>
      <c r="J35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7" spans="1:10" x14ac:dyDescent="0.3">
      <c r="A357" s="10">
        <v>6401</v>
      </c>
      <c r="B357" s="10" t="s">
        <v>454</v>
      </c>
      <c r="C357" s="10" t="str">
        <f t="shared" si="5"/>
        <v>64</v>
      </c>
      <c r="D357" s="12" t="s">
        <v>64</v>
      </c>
      <c r="E357" s="12">
        <v>9.23</v>
      </c>
      <c r="F357" s="12">
        <v>72.040000000000006</v>
      </c>
      <c r="G357" s="12">
        <v>157184000</v>
      </c>
      <c r="H357" s="12">
        <v>4.5199999999999996</v>
      </c>
      <c r="I357" s="8">
        <v>275452</v>
      </c>
      <c r="J35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8" spans="1:10" x14ac:dyDescent="0.3">
      <c r="A358" s="10">
        <v>6402</v>
      </c>
      <c r="B358" s="10" t="s">
        <v>455</v>
      </c>
      <c r="C358" s="10" t="str">
        <f t="shared" si="5"/>
        <v>64</v>
      </c>
      <c r="D358" s="12" t="s">
        <v>64</v>
      </c>
      <c r="E358" s="12">
        <v>9.2899999999999991</v>
      </c>
      <c r="F358" s="12">
        <v>71.19</v>
      </c>
      <c r="G358" s="12">
        <v>158033000</v>
      </c>
      <c r="H358" s="12">
        <v>4.97</v>
      </c>
      <c r="I358" s="8">
        <v>172288</v>
      </c>
      <c r="J35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9" spans="1:10" x14ac:dyDescent="0.3">
      <c r="A359" s="10">
        <v>6403</v>
      </c>
      <c r="B359" s="10" t="s">
        <v>456</v>
      </c>
      <c r="C359" s="10" t="str">
        <f t="shared" si="5"/>
        <v>64</v>
      </c>
      <c r="D359" s="12" t="s">
        <v>64</v>
      </c>
      <c r="E359" s="12">
        <v>7.31</v>
      </c>
      <c r="F359" s="12">
        <v>73.59</v>
      </c>
      <c r="G359" s="12">
        <v>204499000</v>
      </c>
      <c r="H359" s="12">
        <v>5.7</v>
      </c>
      <c r="I359" s="8">
        <v>729382</v>
      </c>
      <c r="J35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0" spans="1:10" x14ac:dyDescent="0.3">
      <c r="A360" s="10">
        <v>6404</v>
      </c>
      <c r="B360" s="10" t="s">
        <v>457</v>
      </c>
      <c r="C360" s="10" t="str">
        <f t="shared" si="5"/>
        <v>64</v>
      </c>
      <c r="D360" s="12" t="s">
        <v>64</v>
      </c>
      <c r="E360" s="12">
        <v>9.5500000000000007</v>
      </c>
      <c r="F360" s="12">
        <v>73</v>
      </c>
      <c r="G360" s="12">
        <v>268798000</v>
      </c>
      <c r="H360" s="12">
        <v>5.45</v>
      </c>
      <c r="I360" s="8">
        <v>434459</v>
      </c>
      <c r="J36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1" spans="1:10" x14ac:dyDescent="0.3">
      <c r="A361" s="10">
        <v>6405</v>
      </c>
      <c r="B361" s="10" t="s">
        <v>458</v>
      </c>
      <c r="C361" s="10" t="str">
        <f t="shared" si="5"/>
        <v>64</v>
      </c>
      <c r="D361" s="12" t="s">
        <v>64</v>
      </c>
      <c r="E361" s="12">
        <v>5.19</v>
      </c>
      <c r="F361" s="12">
        <v>74.709999999999994</v>
      </c>
      <c r="G361" s="12">
        <v>143667000</v>
      </c>
      <c r="H361" s="12">
        <v>5.08</v>
      </c>
      <c r="I361" s="8">
        <v>248035</v>
      </c>
      <c r="J36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2" spans="1:10" x14ac:dyDescent="0.3">
      <c r="A362" s="10">
        <v>6409</v>
      </c>
      <c r="B362" s="10" t="s">
        <v>459</v>
      </c>
      <c r="C362" s="10" t="str">
        <f t="shared" si="5"/>
        <v>64</v>
      </c>
      <c r="D362" s="12" t="s">
        <v>64</v>
      </c>
      <c r="E362" s="12">
        <v>7.36</v>
      </c>
      <c r="F362" s="12">
        <v>71.41</v>
      </c>
      <c r="G362" s="12">
        <v>50782000</v>
      </c>
      <c r="H362" s="12">
        <v>6.22</v>
      </c>
      <c r="I362" s="8">
        <v>178681</v>
      </c>
      <c r="J36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3" spans="1:10" x14ac:dyDescent="0.3">
      <c r="A363" s="10">
        <v>6411</v>
      </c>
      <c r="B363" s="10" t="s">
        <v>460</v>
      </c>
      <c r="C363" s="10" t="str">
        <f t="shared" si="5"/>
        <v>64</v>
      </c>
      <c r="D363" s="12" t="s">
        <v>64</v>
      </c>
      <c r="E363" s="12">
        <v>11.44</v>
      </c>
      <c r="F363" s="12">
        <v>67.09</v>
      </c>
      <c r="G363" s="12">
        <v>85378000</v>
      </c>
      <c r="H363" s="12">
        <v>3.49</v>
      </c>
      <c r="I363" s="8">
        <v>32513</v>
      </c>
      <c r="J36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4" spans="1:10" x14ac:dyDescent="0.3">
      <c r="A364" s="10">
        <v>6471</v>
      </c>
      <c r="B364" s="10" t="s">
        <v>461</v>
      </c>
      <c r="C364" s="10" t="str">
        <f t="shared" si="5"/>
        <v>64</v>
      </c>
      <c r="D364" s="12" t="s">
        <v>64</v>
      </c>
      <c r="E364" s="12">
        <v>2.57</v>
      </c>
      <c r="F364" s="12">
        <v>80.010000000000005</v>
      </c>
      <c r="G364" s="12">
        <v>151313000</v>
      </c>
      <c r="H364" s="12">
        <v>9</v>
      </c>
      <c r="I364" s="8">
        <v>688318</v>
      </c>
      <c r="J36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5" spans="1:10" x14ac:dyDescent="0.3">
      <c r="A365" s="10">
        <v>6472</v>
      </c>
      <c r="B365" s="10" t="s">
        <v>462</v>
      </c>
      <c r="C365" s="10" t="str">
        <f t="shared" si="5"/>
        <v>64</v>
      </c>
      <c r="D365" s="12" t="s">
        <v>64</v>
      </c>
      <c r="E365" s="12">
        <v>4.76</v>
      </c>
      <c r="F365" s="12">
        <v>80.11</v>
      </c>
      <c r="G365" s="12">
        <v>80363000</v>
      </c>
      <c r="H365" s="12">
        <v>8.26</v>
      </c>
      <c r="I365" s="8">
        <v>827994</v>
      </c>
      <c r="J36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6" spans="1:10" x14ac:dyDescent="0.3">
      <c r="A366" s="10">
        <v>6474</v>
      </c>
      <c r="B366" s="10" t="s">
        <v>463</v>
      </c>
      <c r="C366" s="10" t="str">
        <f t="shared" si="5"/>
        <v>64</v>
      </c>
      <c r="D366" s="12" t="s">
        <v>64</v>
      </c>
      <c r="E366" s="12">
        <v>4.38</v>
      </c>
      <c r="F366" s="12">
        <v>80.02</v>
      </c>
      <c r="G366" s="12">
        <v>311880000</v>
      </c>
      <c r="H366" s="12">
        <v>9.4600000000000009</v>
      </c>
      <c r="I366" s="8">
        <v>178917</v>
      </c>
      <c r="J36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7" spans="1:10" x14ac:dyDescent="0.3">
      <c r="A367" s="10">
        <v>6501</v>
      </c>
      <c r="B367" s="10" t="s">
        <v>464</v>
      </c>
      <c r="C367" s="10" t="str">
        <f t="shared" si="5"/>
        <v>65</v>
      </c>
      <c r="D367" s="12" t="s">
        <v>65</v>
      </c>
      <c r="E367" s="12">
        <v>6.63</v>
      </c>
      <c r="F367" s="12">
        <v>71.94</v>
      </c>
      <c r="G367" s="12">
        <v>135566000</v>
      </c>
      <c r="H367" s="12">
        <v>5.08</v>
      </c>
      <c r="I367" s="8">
        <v>82510</v>
      </c>
      <c r="J36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8" spans="1:10" x14ac:dyDescent="0.3">
      <c r="A368" s="10">
        <v>6502</v>
      </c>
      <c r="B368" s="10" t="s">
        <v>465</v>
      </c>
      <c r="C368" s="10" t="str">
        <f t="shared" si="5"/>
        <v>65</v>
      </c>
      <c r="D368" s="12" t="s">
        <v>65</v>
      </c>
      <c r="E368" s="12">
        <v>9.06</v>
      </c>
      <c r="F368" s="12">
        <v>71.099999999999994</v>
      </c>
      <c r="G368" s="12">
        <v>123791000</v>
      </c>
      <c r="H368" s="12">
        <v>4.45</v>
      </c>
      <c r="I368" s="8">
        <v>151844</v>
      </c>
      <c r="J36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9" spans="1:10" x14ac:dyDescent="0.3">
      <c r="A369" s="10">
        <v>6503</v>
      </c>
      <c r="B369" s="10" t="s">
        <v>466</v>
      </c>
      <c r="C369" s="10" t="str">
        <f t="shared" si="5"/>
        <v>65</v>
      </c>
      <c r="D369" s="12" t="s">
        <v>65</v>
      </c>
      <c r="E369" s="12">
        <v>4.8099999999999996</v>
      </c>
      <c r="F369" s="12">
        <v>66.97</v>
      </c>
      <c r="G369" s="12">
        <v>231649000</v>
      </c>
      <c r="H369" s="12">
        <v>4.83</v>
      </c>
      <c r="I369" s="8">
        <v>25584</v>
      </c>
      <c r="J36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0" spans="1:10" x14ac:dyDescent="0.3">
      <c r="A370" s="10">
        <v>6504</v>
      </c>
      <c r="B370" s="10" t="s">
        <v>467</v>
      </c>
      <c r="C370" s="10" t="str">
        <f t="shared" si="5"/>
        <v>65</v>
      </c>
      <c r="D370" s="12" t="s">
        <v>65</v>
      </c>
      <c r="E370" s="12">
        <v>6.36</v>
      </c>
      <c r="F370" s="12">
        <v>65.790000000000006</v>
      </c>
      <c r="G370" s="12">
        <v>132693000</v>
      </c>
      <c r="H370" s="12">
        <v>4.1399999999999997</v>
      </c>
      <c r="I370" s="8">
        <v>199090</v>
      </c>
      <c r="J37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1" spans="1:10" x14ac:dyDescent="0.3">
      <c r="A371" s="10">
        <v>6571</v>
      </c>
      <c r="B371" s="10" t="s">
        <v>468</v>
      </c>
      <c r="C371" s="10" t="str">
        <f t="shared" si="5"/>
        <v>65</v>
      </c>
      <c r="D371" s="12" t="s">
        <v>65</v>
      </c>
      <c r="E371" s="12">
        <v>6.24</v>
      </c>
      <c r="F371" s="12">
        <v>75.83</v>
      </c>
      <c r="G371" s="12">
        <v>156956000</v>
      </c>
      <c r="H371" s="12">
        <v>5.86</v>
      </c>
      <c r="I371" s="8">
        <v>242786</v>
      </c>
      <c r="J37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2" spans="1:10" x14ac:dyDescent="0.3">
      <c r="A372" s="10">
        <v>7101</v>
      </c>
      <c r="B372" s="10" t="s">
        <v>469</v>
      </c>
      <c r="C372" s="10" t="str">
        <f t="shared" si="5"/>
        <v>71</v>
      </c>
      <c r="D372" s="12" t="s">
        <v>66</v>
      </c>
      <c r="E372" s="12">
        <v>7.27</v>
      </c>
      <c r="F372" s="12">
        <v>67.89</v>
      </c>
      <c r="G372" s="12">
        <v>33804000</v>
      </c>
      <c r="H372" s="12">
        <v>4.87</v>
      </c>
      <c r="I372" s="8">
        <v>248751</v>
      </c>
      <c r="J37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3" spans="1:10" x14ac:dyDescent="0.3">
      <c r="A373" s="10">
        <v>7102</v>
      </c>
      <c r="B373" s="10" t="s">
        <v>470</v>
      </c>
      <c r="C373" s="10" t="str">
        <f t="shared" si="5"/>
        <v>71</v>
      </c>
      <c r="D373" s="12" t="s">
        <v>66</v>
      </c>
      <c r="E373" s="12">
        <v>7.3</v>
      </c>
      <c r="F373" s="12">
        <v>75.290000000000006</v>
      </c>
      <c r="G373" s="12">
        <v>50228000</v>
      </c>
      <c r="H373" s="12">
        <v>6.3</v>
      </c>
      <c r="I373" s="8">
        <v>347290</v>
      </c>
      <c r="J37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4" spans="1:10" x14ac:dyDescent="0.3">
      <c r="A374" s="10">
        <v>7103</v>
      </c>
      <c r="B374" s="10" t="s">
        <v>471</v>
      </c>
      <c r="C374" s="10" t="str">
        <f t="shared" si="5"/>
        <v>71</v>
      </c>
      <c r="D374" s="12" t="s">
        <v>66</v>
      </c>
      <c r="E374" s="12">
        <v>11.14</v>
      </c>
      <c r="F374" s="12">
        <v>70.73</v>
      </c>
      <c r="G374" s="12">
        <v>31494000</v>
      </c>
      <c r="H374" s="12">
        <v>4.91</v>
      </c>
      <c r="I374" s="8">
        <v>139262</v>
      </c>
      <c r="J37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5" spans="1:10" x14ac:dyDescent="0.3">
      <c r="A375" s="10">
        <v>7104</v>
      </c>
      <c r="B375" s="10" t="s">
        <v>472</v>
      </c>
      <c r="C375" s="10" t="str">
        <f t="shared" si="5"/>
        <v>71</v>
      </c>
      <c r="D375" s="12" t="s">
        <v>66</v>
      </c>
      <c r="E375" s="12">
        <v>9.49</v>
      </c>
      <c r="F375" s="12">
        <v>69.400000000000006</v>
      </c>
      <c r="G375" s="12">
        <v>24009000</v>
      </c>
      <c r="H375" s="12">
        <v>2.64</v>
      </c>
      <c r="I375" s="8">
        <v>94521</v>
      </c>
      <c r="J37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6" spans="1:10" x14ac:dyDescent="0.3">
      <c r="A376" s="10">
        <v>7105</v>
      </c>
      <c r="B376" s="10" t="s">
        <v>473</v>
      </c>
      <c r="C376" s="10" t="str">
        <f t="shared" si="5"/>
        <v>71</v>
      </c>
      <c r="D376" s="12" t="s">
        <v>66</v>
      </c>
      <c r="E376" s="12">
        <v>9.14</v>
      </c>
      <c r="F376" s="12">
        <v>72.11</v>
      </c>
      <c r="G376" s="12">
        <v>37239000</v>
      </c>
      <c r="H376" s="12">
        <v>5.01</v>
      </c>
      <c r="I376" s="8">
        <v>236463</v>
      </c>
      <c r="J37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7" spans="1:10" x14ac:dyDescent="0.3">
      <c r="A377" s="10">
        <v>7106</v>
      </c>
      <c r="B377" s="10" t="s">
        <v>474</v>
      </c>
      <c r="C377" s="10" t="str">
        <f t="shared" si="5"/>
        <v>71</v>
      </c>
      <c r="D377" s="12" t="s">
        <v>66</v>
      </c>
      <c r="E377" s="12">
        <v>7</v>
      </c>
      <c r="F377" s="12">
        <v>73.900000000000006</v>
      </c>
      <c r="G377" s="12">
        <v>64039000</v>
      </c>
      <c r="H377" s="12">
        <v>7.88</v>
      </c>
      <c r="I377" s="8">
        <v>224993</v>
      </c>
      <c r="J37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8" spans="1:10" x14ac:dyDescent="0.3">
      <c r="A378" s="10">
        <v>7107</v>
      </c>
      <c r="B378" s="10" t="s">
        <v>475</v>
      </c>
      <c r="C378" s="10" t="str">
        <f t="shared" si="5"/>
        <v>71</v>
      </c>
      <c r="D378" s="12" t="s">
        <v>66</v>
      </c>
      <c r="E378" s="12">
        <v>8.41</v>
      </c>
      <c r="F378" s="12">
        <v>66.989999999999995</v>
      </c>
      <c r="G378" s="12">
        <v>31041000</v>
      </c>
      <c r="H378" s="12">
        <v>5.48</v>
      </c>
      <c r="I378" s="8">
        <v>83112</v>
      </c>
      <c r="J37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9" spans="1:10" x14ac:dyDescent="0.3">
      <c r="A379" s="10">
        <v>7108</v>
      </c>
      <c r="B379" s="10" t="s">
        <v>476</v>
      </c>
      <c r="C379" s="10" t="str">
        <f t="shared" si="5"/>
        <v>71</v>
      </c>
      <c r="D379" s="12" t="s">
        <v>66</v>
      </c>
      <c r="E379" s="12">
        <v>8.94</v>
      </c>
      <c r="F379" s="12">
        <v>67.64</v>
      </c>
      <c r="G379" s="12">
        <v>34116000</v>
      </c>
      <c r="H379" s="12">
        <v>3.31</v>
      </c>
      <c r="I379" s="8">
        <v>71817</v>
      </c>
      <c r="J37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0" spans="1:10" x14ac:dyDescent="0.3">
      <c r="A380" s="10">
        <v>7109</v>
      </c>
      <c r="B380" s="10" t="s">
        <v>477</v>
      </c>
      <c r="C380" s="10" t="str">
        <f t="shared" si="5"/>
        <v>71</v>
      </c>
      <c r="D380" s="12" t="s">
        <v>66</v>
      </c>
      <c r="E380" s="12">
        <v>12.3</v>
      </c>
      <c r="F380" s="12">
        <v>70.510000000000005</v>
      </c>
      <c r="G380" s="12">
        <v>44900000</v>
      </c>
      <c r="H380" s="12">
        <v>3.31</v>
      </c>
      <c r="I380" s="8">
        <v>116323</v>
      </c>
      <c r="J38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1" spans="1:10" x14ac:dyDescent="0.3">
      <c r="A381" s="10">
        <v>7110</v>
      </c>
      <c r="B381" s="10" t="s">
        <v>478</v>
      </c>
      <c r="C381" s="10" t="str">
        <f t="shared" si="5"/>
        <v>71</v>
      </c>
      <c r="D381" s="12" t="s">
        <v>66</v>
      </c>
      <c r="E381" s="12">
        <v>12.77</v>
      </c>
      <c r="F381" s="12">
        <v>65</v>
      </c>
      <c r="G381" s="12">
        <v>30951000</v>
      </c>
      <c r="H381" s="12">
        <v>4.3899999999999997</v>
      </c>
      <c r="I381" s="8">
        <v>69791</v>
      </c>
      <c r="J38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2" spans="1:10" x14ac:dyDescent="0.3">
      <c r="A382" s="10">
        <v>7111</v>
      </c>
      <c r="B382" s="10" t="s">
        <v>479</v>
      </c>
      <c r="C382" s="10" t="str">
        <f t="shared" si="5"/>
        <v>71</v>
      </c>
      <c r="D382" s="12" t="s">
        <v>66</v>
      </c>
      <c r="E382" s="12">
        <v>5.88</v>
      </c>
      <c r="F382" s="12">
        <v>65.989999999999995</v>
      </c>
      <c r="G382" s="12">
        <v>35137000</v>
      </c>
      <c r="H382" s="12">
        <v>6.13</v>
      </c>
      <c r="I382" s="8">
        <v>88241</v>
      </c>
      <c r="J38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3" spans="1:10" x14ac:dyDescent="0.3">
      <c r="A383" s="10">
        <v>7171</v>
      </c>
      <c r="B383" s="10" t="s">
        <v>480</v>
      </c>
      <c r="C383" s="10" t="str">
        <f t="shared" si="5"/>
        <v>71</v>
      </c>
      <c r="D383" s="12" t="s">
        <v>66</v>
      </c>
      <c r="E383" s="12">
        <v>5.86</v>
      </c>
      <c r="F383" s="12">
        <v>78.930000000000007</v>
      </c>
      <c r="G383" s="12">
        <v>81073000</v>
      </c>
      <c r="H383" s="12">
        <v>13.88</v>
      </c>
      <c r="I383" s="8">
        <v>451916</v>
      </c>
      <c r="J38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4" spans="1:10" x14ac:dyDescent="0.3">
      <c r="A384" s="10">
        <v>7172</v>
      </c>
      <c r="B384" s="10" t="s">
        <v>481</v>
      </c>
      <c r="C384" s="10" t="str">
        <f t="shared" si="5"/>
        <v>71</v>
      </c>
      <c r="D384" s="12" t="s">
        <v>66</v>
      </c>
      <c r="E384" s="12">
        <v>6.41</v>
      </c>
      <c r="F384" s="12">
        <v>74.099999999999994</v>
      </c>
      <c r="G384" s="12">
        <v>76092000</v>
      </c>
      <c r="H384" s="12">
        <v>10.23</v>
      </c>
      <c r="I384" s="8">
        <v>225134</v>
      </c>
      <c r="J38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5" spans="1:10" x14ac:dyDescent="0.3">
      <c r="A385" s="10">
        <v>7173</v>
      </c>
      <c r="B385" s="10" t="s">
        <v>482</v>
      </c>
      <c r="C385" s="10" t="str">
        <f t="shared" si="5"/>
        <v>71</v>
      </c>
      <c r="D385" s="12" t="s">
        <v>66</v>
      </c>
      <c r="E385" s="12">
        <v>5.6</v>
      </c>
      <c r="F385" s="12">
        <v>76.69</v>
      </c>
      <c r="G385" s="12">
        <v>43478000</v>
      </c>
      <c r="H385" s="12">
        <v>8.99</v>
      </c>
      <c r="I385" s="8">
        <v>100587</v>
      </c>
      <c r="J38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6" spans="1:10" x14ac:dyDescent="0.3">
      <c r="A386" s="10">
        <v>7174</v>
      </c>
      <c r="B386" s="10" t="s">
        <v>483</v>
      </c>
      <c r="C386" s="10" t="str">
        <f t="shared" ref="C386:C449" si="6">LEFT(A386,2)</f>
        <v>71</v>
      </c>
      <c r="D386" s="12" t="s">
        <v>66</v>
      </c>
      <c r="E386" s="12">
        <v>5.42</v>
      </c>
      <c r="F386" s="12">
        <v>72.97</v>
      </c>
      <c r="G386" s="12">
        <v>30694000</v>
      </c>
      <c r="H386" s="12">
        <v>7.44</v>
      </c>
      <c r="I386" s="8">
        <v>123722</v>
      </c>
      <c r="J38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7" spans="1:10" x14ac:dyDescent="0.3">
      <c r="A387" s="10">
        <v>7201</v>
      </c>
      <c r="B387" s="10" t="s">
        <v>484</v>
      </c>
      <c r="C387" s="10" t="str">
        <f t="shared" si="6"/>
        <v>72</v>
      </c>
      <c r="D387" s="12" t="s">
        <v>67</v>
      </c>
      <c r="E387" s="12">
        <v>14.04</v>
      </c>
      <c r="F387" s="12">
        <v>65.42</v>
      </c>
      <c r="G387" s="12">
        <v>32002000</v>
      </c>
      <c r="H387" s="12">
        <v>2.4700000000000002</v>
      </c>
      <c r="I387" s="8">
        <v>120142</v>
      </c>
      <c r="J38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8" spans="1:10" x14ac:dyDescent="0.3">
      <c r="A388" s="10">
        <v>7202</v>
      </c>
      <c r="B388" s="10" t="s">
        <v>485</v>
      </c>
      <c r="C388" s="10" t="str">
        <f t="shared" si="6"/>
        <v>72</v>
      </c>
      <c r="D388" s="12" t="s">
        <v>67</v>
      </c>
      <c r="E388" s="12">
        <v>7.39</v>
      </c>
      <c r="F388" s="12">
        <v>70.52</v>
      </c>
      <c r="G388" s="12">
        <v>75697000</v>
      </c>
      <c r="H388" s="12">
        <v>2.42</v>
      </c>
      <c r="I388" s="8">
        <v>362275</v>
      </c>
      <c r="J38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9" spans="1:10" x14ac:dyDescent="0.3">
      <c r="A389" s="10">
        <v>7203</v>
      </c>
      <c r="B389" s="10" t="s">
        <v>486</v>
      </c>
      <c r="C389" s="10" t="str">
        <f t="shared" si="6"/>
        <v>72</v>
      </c>
      <c r="D389" s="12" t="s">
        <v>67</v>
      </c>
      <c r="E389" s="12">
        <v>13.43</v>
      </c>
      <c r="F389" s="12">
        <v>72.209999999999994</v>
      </c>
      <c r="G389" s="12">
        <v>388801000</v>
      </c>
      <c r="H389" s="12">
        <v>5.21</v>
      </c>
      <c r="I389" s="8">
        <v>161727</v>
      </c>
      <c r="J38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0" spans="1:10" x14ac:dyDescent="0.3">
      <c r="A390" s="10">
        <v>7204</v>
      </c>
      <c r="B390" s="10" t="s">
        <v>487</v>
      </c>
      <c r="C390" s="10" t="str">
        <f t="shared" si="6"/>
        <v>72</v>
      </c>
      <c r="D390" s="12" t="s">
        <v>67</v>
      </c>
      <c r="E390" s="12">
        <v>15.45</v>
      </c>
      <c r="F390" s="12">
        <v>71.28</v>
      </c>
      <c r="G390" s="12">
        <v>37757000</v>
      </c>
      <c r="H390" s="12">
        <v>2.39</v>
      </c>
      <c r="I390" s="8">
        <v>244875</v>
      </c>
      <c r="J39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1" spans="1:10" x14ac:dyDescent="0.3">
      <c r="A391" s="10">
        <v>7205</v>
      </c>
      <c r="B391" s="10" t="s">
        <v>488</v>
      </c>
      <c r="C391" s="10" t="str">
        <f t="shared" si="6"/>
        <v>72</v>
      </c>
      <c r="D391" s="12" t="s">
        <v>67</v>
      </c>
      <c r="E391" s="12">
        <v>17.39</v>
      </c>
      <c r="F391" s="12">
        <v>65.56</v>
      </c>
      <c r="G391" s="12">
        <v>39124000</v>
      </c>
      <c r="H391" s="12">
        <v>2.58</v>
      </c>
      <c r="I391" s="8">
        <v>300436</v>
      </c>
      <c r="J39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2" spans="1:10" x14ac:dyDescent="0.3">
      <c r="A392" s="10">
        <v>7206</v>
      </c>
      <c r="B392" s="10" t="s">
        <v>489</v>
      </c>
      <c r="C392" s="10" t="str">
        <f t="shared" si="6"/>
        <v>72</v>
      </c>
      <c r="D392" s="12" t="s">
        <v>67</v>
      </c>
      <c r="E392" s="12">
        <v>12.85</v>
      </c>
      <c r="F392" s="12">
        <v>65.69</v>
      </c>
      <c r="G392" s="12">
        <v>36995000</v>
      </c>
      <c r="H392" s="12">
        <v>3.74</v>
      </c>
      <c r="I392" s="8">
        <v>225154</v>
      </c>
      <c r="J39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3" spans="1:10" x14ac:dyDescent="0.3">
      <c r="A393" s="10">
        <v>7207</v>
      </c>
      <c r="B393" s="10" t="s">
        <v>490</v>
      </c>
      <c r="C393" s="10" t="str">
        <f t="shared" si="6"/>
        <v>72</v>
      </c>
      <c r="D393" s="12" t="s">
        <v>67</v>
      </c>
      <c r="E393" s="12">
        <v>13.93</v>
      </c>
      <c r="F393" s="12">
        <v>67.819999999999993</v>
      </c>
      <c r="G393" s="12">
        <v>38881000</v>
      </c>
      <c r="H393" s="12">
        <v>4.3600000000000003</v>
      </c>
      <c r="I393" s="8">
        <v>145254</v>
      </c>
      <c r="J39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4" spans="1:10" x14ac:dyDescent="0.3">
      <c r="A394" s="10">
        <v>7208</v>
      </c>
      <c r="B394" s="10" t="s">
        <v>491</v>
      </c>
      <c r="C394" s="10" t="str">
        <f t="shared" si="6"/>
        <v>72</v>
      </c>
      <c r="D394" s="12" t="s">
        <v>67</v>
      </c>
      <c r="E394" s="12">
        <v>15.85</v>
      </c>
      <c r="F394" s="12">
        <v>65.44</v>
      </c>
      <c r="G394" s="12">
        <v>39124000</v>
      </c>
      <c r="H394" s="12">
        <v>2.7</v>
      </c>
      <c r="I394" s="8">
        <v>440015</v>
      </c>
      <c r="J39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5" spans="1:10" x14ac:dyDescent="0.3">
      <c r="A395" s="10">
        <v>7209</v>
      </c>
      <c r="B395" s="10" t="s">
        <v>492</v>
      </c>
      <c r="C395" s="10" t="str">
        <f t="shared" si="6"/>
        <v>72</v>
      </c>
      <c r="D395" s="12" t="s">
        <v>67</v>
      </c>
      <c r="E395" s="12">
        <v>16.39</v>
      </c>
      <c r="F395" s="12">
        <v>64.59</v>
      </c>
      <c r="G395" s="12">
        <v>34229000</v>
      </c>
      <c r="H395" s="12">
        <v>2.84</v>
      </c>
      <c r="I395" s="8">
        <v>163829</v>
      </c>
      <c r="J39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6" spans="1:10" x14ac:dyDescent="0.3">
      <c r="A396" s="10">
        <v>7210</v>
      </c>
      <c r="B396" s="10" t="s">
        <v>493</v>
      </c>
      <c r="C396" s="10" t="str">
        <f t="shared" si="6"/>
        <v>72</v>
      </c>
      <c r="D396" s="12" t="s">
        <v>67</v>
      </c>
      <c r="E396" s="12">
        <v>12.45</v>
      </c>
      <c r="F396" s="12">
        <v>68.12</v>
      </c>
      <c r="G396" s="12">
        <v>35192000</v>
      </c>
      <c r="H396" s="12">
        <v>3.36</v>
      </c>
      <c r="I396" s="8">
        <v>257585</v>
      </c>
      <c r="J39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7" spans="1:10" x14ac:dyDescent="0.3">
      <c r="A397" s="10">
        <v>7211</v>
      </c>
      <c r="B397" s="10" t="s">
        <v>494</v>
      </c>
      <c r="C397" s="10" t="str">
        <f t="shared" si="6"/>
        <v>72</v>
      </c>
      <c r="D397" s="12" t="s">
        <v>67</v>
      </c>
      <c r="E397" s="12">
        <v>14.6</v>
      </c>
      <c r="F397" s="12">
        <v>65.430000000000007</v>
      </c>
      <c r="G397" s="12">
        <v>33707000</v>
      </c>
      <c r="H397" s="12">
        <v>3.09</v>
      </c>
      <c r="I397" s="8">
        <v>70435</v>
      </c>
      <c r="J39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8" spans="1:10" x14ac:dyDescent="0.3">
      <c r="A398" s="10">
        <v>7212</v>
      </c>
      <c r="B398" s="10" t="s">
        <v>495</v>
      </c>
      <c r="C398" s="10" t="str">
        <f t="shared" si="6"/>
        <v>72</v>
      </c>
      <c r="D398" s="12" t="s">
        <v>67</v>
      </c>
      <c r="E398" s="12">
        <v>14.1</v>
      </c>
      <c r="F398" s="12">
        <v>68.36</v>
      </c>
      <c r="G398" s="12">
        <v>92644000</v>
      </c>
      <c r="H398" s="12">
        <v>5.16</v>
      </c>
      <c r="I398" s="8">
        <v>120789</v>
      </c>
      <c r="J39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9" spans="1:10" x14ac:dyDescent="0.3">
      <c r="A399" s="10">
        <v>7271</v>
      </c>
      <c r="B399" s="10" t="s">
        <v>496</v>
      </c>
      <c r="C399" s="10" t="str">
        <f t="shared" si="6"/>
        <v>72</v>
      </c>
      <c r="D399" s="12" t="s">
        <v>67</v>
      </c>
      <c r="E399" s="12">
        <v>6.8</v>
      </c>
      <c r="F399" s="12">
        <v>81.47</v>
      </c>
      <c r="G399" s="12">
        <v>64883000</v>
      </c>
      <c r="H399" s="12">
        <v>8.3800000000000008</v>
      </c>
      <c r="I399" s="8">
        <v>373218</v>
      </c>
      <c r="J39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0" spans="1:10" x14ac:dyDescent="0.3">
      <c r="A400" s="10">
        <v>7301</v>
      </c>
      <c r="B400" s="10" t="s">
        <v>497</v>
      </c>
      <c r="C400" s="10" t="str">
        <f t="shared" si="6"/>
        <v>73</v>
      </c>
      <c r="D400" s="12" t="s">
        <v>68</v>
      </c>
      <c r="E400" s="12">
        <v>12.48</v>
      </c>
      <c r="F400" s="12">
        <v>67.38</v>
      </c>
      <c r="G400" s="12">
        <v>46731000</v>
      </c>
      <c r="H400" s="12">
        <v>2.44</v>
      </c>
      <c r="I400" s="8">
        <v>137071</v>
      </c>
      <c r="J40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1" spans="1:10" x14ac:dyDescent="0.3">
      <c r="A401" s="10">
        <v>7302</v>
      </c>
      <c r="B401" s="10" t="s">
        <v>498</v>
      </c>
      <c r="C401" s="10" t="str">
        <f t="shared" si="6"/>
        <v>73</v>
      </c>
      <c r="D401" s="12" t="s">
        <v>68</v>
      </c>
      <c r="E401" s="12">
        <v>7.1</v>
      </c>
      <c r="F401" s="12">
        <v>68.989999999999995</v>
      </c>
      <c r="G401" s="12">
        <v>33340000</v>
      </c>
      <c r="H401" s="12">
        <v>3.42</v>
      </c>
      <c r="I401" s="8">
        <v>437607</v>
      </c>
      <c r="J40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2" spans="1:10" x14ac:dyDescent="0.3">
      <c r="A402" s="10">
        <v>7303</v>
      </c>
      <c r="B402" s="10" t="s">
        <v>499</v>
      </c>
      <c r="C402" s="10" t="str">
        <f t="shared" si="6"/>
        <v>73</v>
      </c>
      <c r="D402" s="12" t="s">
        <v>68</v>
      </c>
      <c r="E402" s="12">
        <v>8.9499999999999993</v>
      </c>
      <c r="F402" s="12">
        <v>68.73</v>
      </c>
      <c r="G402" s="12">
        <v>45681000</v>
      </c>
      <c r="H402" s="12">
        <v>4.2699999999999996</v>
      </c>
      <c r="I402" s="8">
        <v>196716</v>
      </c>
      <c r="J40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3" spans="1:10" x14ac:dyDescent="0.3">
      <c r="A403" s="10">
        <v>7304</v>
      </c>
      <c r="B403" s="10" t="s">
        <v>500</v>
      </c>
      <c r="C403" s="10" t="str">
        <f t="shared" si="6"/>
        <v>73</v>
      </c>
      <c r="D403" s="12" t="s">
        <v>68</v>
      </c>
      <c r="E403" s="12">
        <v>14.58</v>
      </c>
      <c r="F403" s="12">
        <v>64.260000000000005</v>
      </c>
      <c r="G403" s="12">
        <v>25696000</v>
      </c>
      <c r="H403" s="12">
        <v>2.31</v>
      </c>
      <c r="I403" s="8">
        <v>401610</v>
      </c>
      <c r="J40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4" spans="1:10" x14ac:dyDescent="0.3">
      <c r="A404" s="10">
        <v>7305</v>
      </c>
      <c r="B404" s="10" t="s">
        <v>501</v>
      </c>
      <c r="C404" s="10" t="str">
        <f t="shared" si="6"/>
        <v>73</v>
      </c>
      <c r="D404" s="12" t="s">
        <v>68</v>
      </c>
      <c r="E404" s="12">
        <v>8.44</v>
      </c>
      <c r="F404" s="12">
        <v>67.31</v>
      </c>
      <c r="G404" s="12">
        <v>34033000</v>
      </c>
      <c r="H404" s="12">
        <v>4.16</v>
      </c>
      <c r="I404" s="8">
        <v>300853</v>
      </c>
      <c r="J40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5" spans="1:10" x14ac:dyDescent="0.3">
      <c r="A405" s="10">
        <v>7306</v>
      </c>
      <c r="B405" s="10" t="s">
        <v>502</v>
      </c>
      <c r="C405" s="10" t="str">
        <f t="shared" si="6"/>
        <v>73</v>
      </c>
      <c r="D405" s="12" t="s">
        <v>68</v>
      </c>
      <c r="E405" s="12">
        <v>7.38</v>
      </c>
      <c r="F405" s="12">
        <v>70.14</v>
      </c>
      <c r="G405" s="12">
        <v>28202000</v>
      </c>
      <c r="H405" s="12">
        <v>6.44</v>
      </c>
      <c r="I405" s="8">
        <v>765836</v>
      </c>
      <c r="J40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6" spans="1:10" x14ac:dyDescent="0.3">
      <c r="A406" s="10">
        <v>7307</v>
      </c>
      <c r="B406" s="10" t="s">
        <v>503</v>
      </c>
      <c r="C406" s="10" t="str">
        <f t="shared" si="6"/>
        <v>73</v>
      </c>
      <c r="D406" s="12" t="s">
        <v>68</v>
      </c>
      <c r="E406" s="12">
        <v>9</v>
      </c>
      <c r="F406" s="12">
        <v>67.599999999999994</v>
      </c>
      <c r="G406" s="12">
        <v>43742000</v>
      </c>
      <c r="H406" s="12">
        <v>2.65</v>
      </c>
      <c r="I406" s="8">
        <v>259478</v>
      </c>
      <c r="J40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7" spans="1:10" x14ac:dyDescent="0.3">
      <c r="A407" s="10">
        <v>7308</v>
      </c>
      <c r="B407" s="10" t="s">
        <v>504</v>
      </c>
      <c r="C407" s="10" t="str">
        <f t="shared" si="6"/>
        <v>73</v>
      </c>
      <c r="D407" s="12" t="s">
        <v>68</v>
      </c>
      <c r="E407" s="12">
        <v>9.74</v>
      </c>
      <c r="F407" s="12">
        <v>69.86</v>
      </c>
      <c r="G407" s="12">
        <v>47730000</v>
      </c>
      <c r="H407" s="12">
        <v>6.28</v>
      </c>
      <c r="I407" s="8">
        <v>391774</v>
      </c>
      <c r="J40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8" spans="1:10" x14ac:dyDescent="0.3">
      <c r="A408" s="10">
        <v>7309</v>
      </c>
      <c r="B408" s="10" t="s">
        <v>505</v>
      </c>
      <c r="C408" s="10" t="str">
        <f t="shared" si="6"/>
        <v>73</v>
      </c>
      <c r="D408" s="12" t="s">
        <v>68</v>
      </c>
      <c r="E408" s="12">
        <v>13.96</v>
      </c>
      <c r="F408" s="12">
        <v>68.72</v>
      </c>
      <c r="G408" s="12">
        <v>74377000</v>
      </c>
      <c r="H408" s="12">
        <v>5.18</v>
      </c>
      <c r="I408" s="8">
        <v>345775</v>
      </c>
      <c r="J40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9" spans="1:10" x14ac:dyDescent="0.3">
      <c r="A409" s="10">
        <v>7310</v>
      </c>
      <c r="B409" s="10" t="s">
        <v>506</v>
      </c>
      <c r="C409" s="10" t="str">
        <f t="shared" si="6"/>
        <v>73</v>
      </c>
      <c r="D409" s="12" t="s">
        <v>68</v>
      </c>
      <c r="E409" s="12">
        <v>8.26</v>
      </c>
      <c r="F409" s="12">
        <v>71</v>
      </c>
      <c r="G409" s="12">
        <v>40363000</v>
      </c>
      <c r="H409" s="12">
        <v>6.39</v>
      </c>
      <c r="I409" s="8">
        <v>184452</v>
      </c>
      <c r="J40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0" spans="1:10" x14ac:dyDescent="0.3">
      <c r="A410" s="10">
        <v>7311</v>
      </c>
      <c r="B410" s="10" t="s">
        <v>507</v>
      </c>
      <c r="C410" s="10" t="str">
        <f t="shared" si="6"/>
        <v>73</v>
      </c>
      <c r="D410" s="12" t="s">
        <v>68</v>
      </c>
      <c r="E410" s="12">
        <v>10.68</v>
      </c>
      <c r="F410" s="12">
        <v>66.06</v>
      </c>
      <c r="G410" s="12">
        <v>45684000</v>
      </c>
      <c r="H410" s="12">
        <v>3.2</v>
      </c>
      <c r="I410" s="8">
        <v>801775</v>
      </c>
      <c r="J41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1" spans="1:10" x14ac:dyDescent="0.3">
      <c r="A411" s="10">
        <v>7312</v>
      </c>
      <c r="B411" s="10" t="s">
        <v>508</v>
      </c>
      <c r="C411" s="10" t="str">
        <f t="shared" si="6"/>
        <v>73</v>
      </c>
      <c r="D411" s="12" t="s">
        <v>68</v>
      </c>
      <c r="E411" s="12">
        <v>7.59</v>
      </c>
      <c r="F411" s="12">
        <v>68.67</v>
      </c>
      <c r="G411" s="12">
        <v>48416000</v>
      </c>
      <c r="H411" s="12">
        <v>4.42</v>
      </c>
      <c r="I411" s="8">
        <v>235167</v>
      </c>
      <c r="J41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2" spans="1:10" x14ac:dyDescent="0.3">
      <c r="A412" s="10">
        <v>7313</v>
      </c>
      <c r="B412" s="10" t="s">
        <v>509</v>
      </c>
      <c r="C412" s="10" t="str">
        <f t="shared" si="6"/>
        <v>73</v>
      </c>
      <c r="D412" s="12" t="s">
        <v>68</v>
      </c>
      <c r="E412" s="12">
        <v>6.95</v>
      </c>
      <c r="F412" s="12">
        <v>69.150000000000006</v>
      </c>
      <c r="G412" s="12">
        <v>52163000</v>
      </c>
      <c r="H412" s="12">
        <v>4.33</v>
      </c>
      <c r="I412" s="8">
        <v>379079</v>
      </c>
      <c r="J41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3" spans="1:10" x14ac:dyDescent="0.3">
      <c r="A413" s="10">
        <v>7314</v>
      </c>
      <c r="B413" s="10" t="s">
        <v>510</v>
      </c>
      <c r="C413" s="10" t="str">
        <f t="shared" si="6"/>
        <v>73</v>
      </c>
      <c r="D413" s="12" t="s">
        <v>68</v>
      </c>
      <c r="E413" s="12">
        <v>5.05</v>
      </c>
      <c r="F413" s="12">
        <v>71.209999999999994</v>
      </c>
      <c r="G413" s="12">
        <v>44119000</v>
      </c>
      <c r="H413" s="12">
        <v>5.91</v>
      </c>
      <c r="I413" s="8">
        <v>319990</v>
      </c>
      <c r="J41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4" spans="1:10" x14ac:dyDescent="0.3">
      <c r="A414" s="10">
        <v>7315</v>
      </c>
      <c r="B414" s="10" t="s">
        <v>511</v>
      </c>
      <c r="C414" s="10" t="str">
        <f t="shared" si="6"/>
        <v>73</v>
      </c>
      <c r="D414" s="12" t="s">
        <v>68</v>
      </c>
      <c r="E414" s="12">
        <v>8.86</v>
      </c>
      <c r="F414" s="12">
        <v>71.260000000000005</v>
      </c>
      <c r="G414" s="12">
        <v>49839000</v>
      </c>
      <c r="H414" s="12">
        <v>4.1900000000000004</v>
      </c>
      <c r="I414" s="8">
        <v>403994</v>
      </c>
      <c r="J41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5" spans="1:10" x14ac:dyDescent="0.3">
      <c r="A415" s="10">
        <v>7316</v>
      </c>
      <c r="B415" s="10" t="s">
        <v>512</v>
      </c>
      <c r="C415" s="10" t="str">
        <f t="shared" si="6"/>
        <v>73</v>
      </c>
      <c r="D415" s="12" t="s">
        <v>68</v>
      </c>
      <c r="E415" s="12">
        <v>12.17</v>
      </c>
      <c r="F415" s="12">
        <v>72.760000000000005</v>
      </c>
      <c r="G415" s="12">
        <v>33545000</v>
      </c>
      <c r="H415" s="12">
        <v>2.44</v>
      </c>
      <c r="I415" s="8">
        <v>225172</v>
      </c>
      <c r="J41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6" spans="1:10" x14ac:dyDescent="0.3">
      <c r="A416" s="10">
        <v>7317</v>
      </c>
      <c r="B416" s="10" t="s">
        <v>513</v>
      </c>
      <c r="C416" s="10" t="str">
        <f t="shared" si="6"/>
        <v>73</v>
      </c>
      <c r="D416" s="12" t="s">
        <v>68</v>
      </c>
      <c r="E416" s="12">
        <v>12.65</v>
      </c>
      <c r="F416" s="12">
        <v>70.510000000000005</v>
      </c>
      <c r="G416" s="12">
        <v>43911000</v>
      </c>
      <c r="H416" s="12">
        <v>4.9400000000000004</v>
      </c>
      <c r="I416" s="8">
        <v>365608</v>
      </c>
      <c r="J41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7" spans="1:10" x14ac:dyDescent="0.3">
      <c r="A417" s="10">
        <v>7318</v>
      </c>
      <c r="B417" s="10" t="s">
        <v>514</v>
      </c>
      <c r="C417" s="10" t="str">
        <f t="shared" si="6"/>
        <v>73</v>
      </c>
      <c r="D417" s="12" t="s">
        <v>68</v>
      </c>
      <c r="E417" s="12">
        <v>12.1</v>
      </c>
      <c r="F417" s="12">
        <v>68.75</v>
      </c>
      <c r="G417" s="12">
        <v>27100000</v>
      </c>
      <c r="H417" s="12">
        <v>2.6</v>
      </c>
      <c r="I417" s="8">
        <v>280794</v>
      </c>
      <c r="J41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8" spans="1:10" x14ac:dyDescent="0.3">
      <c r="A418" s="10">
        <v>7322</v>
      </c>
      <c r="B418" s="10" t="s">
        <v>515</v>
      </c>
      <c r="C418" s="10" t="str">
        <f t="shared" si="6"/>
        <v>73</v>
      </c>
      <c r="D418" s="12" t="s">
        <v>68</v>
      </c>
      <c r="E418" s="12">
        <v>13.41</v>
      </c>
      <c r="F418" s="12">
        <v>69.569999999999993</v>
      </c>
      <c r="G418" s="12">
        <v>41074000</v>
      </c>
      <c r="H418" s="12">
        <v>3.01</v>
      </c>
      <c r="I418" s="8">
        <v>322919</v>
      </c>
      <c r="J41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9" spans="1:10" x14ac:dyDescent="0.3">
      <c r="A419" s="10">
        <v>7324</v>
      </c>
      <c r="B419" s="10" t="s">
        <v>516</v>
      </c>
      <c r="C419" s="10" t="str">
        <f t="shared" si="6"/>
        <v>73</v>
      </c>
      <c r="D419" s="12" t="s">
        <v>68</v>
      </c>
      <c r="E419" s="12">
        <v>6.85</v>
      </c>
      <c r="F419" s="12">
        <v>73.22</v>
      </c>
      <c r="G419" s="12">
        <v>72849000</v>
      </c>
      <c r="H419" s="12">
        <v>4.46</v>
      </c>
      <c r="I419" s="8">
        <v>296741</v>
      </c>
      <c r="J41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0" spans="1:10" x14ac:dyDescent="0.3">
      <c r="A420" s="10">
        <v>7326</v>
      </c>
      <c r="B420" s="10" t="s">
        <v>517</v>
      </c>
      <c r="C420" s="10" t="str">
        <f t="shared" si="6"/>
        <v>73</v>
      </c>
      <c r="D420" s="12" t="s">
        <v>68</v>
      </c>
      <c r="E420" s="12">
        <v>12.01</v>
      </c>
      <c r="F420" s="12">
        <v>69.33</v>
      </c>
      <c r="G420" s="12">
        <v>37373000</v>
      </c>
      <c r="H420" s="12">
        <v>3.17</v>
      </c>
      <c r="I420" s="8">
        <v>261086</v>
      </c>
      <c r="J42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1" spans="1:10" x14ac:dyDescent="0.3">
      <c r="A421" s="10">
        <v>7371</v>
      </c>
      <c r="B421" s="10" t="s">
        <v>518</v>
      </c>
      <c r="C421" s="10" t="str">
        <f t="shared" si="6"/>
        <v>73</v>
      </c>
      <c r="D421" s="12" t="s">
        <v>68</v>
      </c>
      <c r="E421" s="12">
        <v>4.54</v>
      </c>
      <c r="F421" s="12">
        <v>82.25</v>
      </c>
      <c r="G421" s="12">
        <v>125324000</v>
      </c>
      <c r="H421" s="12">
        <v>15.92</v>
      </c>
      <c r="I421" s="8">
        <v>1423877</v>
      </c>
      <c r="J42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2" spans="1:10" x14ac:dyDescent="0.3">
      <c r="A422" s="10">
        <v>7372</v>
      </c>
      <c r="B422" s="10" t="s">
        <v>519</v>
      </c>
      <c r="C422" s="10" t="str">
        <f t="shared" si="6"/>
        <v>73</v>
      </c>
      <c r="D422" s="12" t="s">
        <v>68</v>
      </c>
      <c r="E422" s="12">
        <v>5.44</v>
      </c>
      <c r="F422" s="12">
        <v>77.86</v>
      </c>
      <c r="G422" s="12">
        <v>48502000</v>
      </c>
      <c r="H422" s="12">
        <v>7.14</v>
      </c>
      <c r="I422" s="8">
        <v>151454</v>
      </c>
      <c r="J42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3" spans="1:10" x14ac:dyDescent="0.3">
      <c r="A423" s="10">
        <v>7373</v>
      </c>
      <c r="B423" s="10" t="s">
        <v>520</v>
      </c>
      <c r="C423" s="10" t="str">
        <f t="shared" si="6"/>
        <v>73</v>
      </c>
      <c r="D423" s="12" t="s">
        <v>68</v>
      </c>
      <c r="E423" s="12">
        <v>7.85</v>
      </c>
      <c r="F423" s="12">
        <v>78.06</v>
      </c>
      <c r="G423" s="12">
        <v>43656000</v>
      </c>
      <c r="H423" s="12">
        <v>10.37</v>
      </c>
      <c r="I423" s="8">
        <v>184681</v>
      </c>
      <c r="J42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4" spans="1:10" x14ac:dyDescent="0.3">
      <c r="A424" s="10">
        <v>7401</v>
      </c>
      <c r="B424" s="10" t="s">
        <v>521</v>
      </c>
      <c r="C424" s="10" t="str">
        <f t="shared" si="6"/>
        <v>74</v>
      </c>
      <c r="D424" s="12" t="s">
        <v>69</v>
      </c>
      <c r="E424" s="12">
        <v>13.21</v>
      </c>
      <c r="F424" s="12">
        <v>65.98</v>
      </c>
      <c r="G424" s="12">
        <v>33262000</v>
      </c>
      <c r="H424" s="12">
        <v>4.78</v>
      </c>
      <c r="I424" s="8">
        <v>115207</v>
      </c>
      <c r="J42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5" spans="1:10" x14ac:dyDescent="0.3">
      <c r="A425" s="10">
        <v>7402</v>
      </c>
      <c r="B425" s="10" t="s">
        <v>522</v>
      </c>
      <c r="C425" s="10" t="str">
        <f t="shared" si="6"/>
        <v>74</v>
      </c>
      <c r="D425" s="12" t="s">
        <v>69</v>
      </c>
      <c r="E425" s="12">
        <v>12.83</v>
      </c>
      <c r="F425" s="12">
        <v>69.02</v>
      </c>
      <c r="G425" s="12">
        <v>32533000</v>
      </c>
      <c r="H425" s="12">
        <v>6.45</v>
      </c>
      <c r="I425" s="8">
        <v>215527</v>
      </c>
      <c r="J42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6" spans="1:10" x14ac:dyDescent="0.3">
      <c r="A426" s="10">
        <v>7403</v>
      </c>
      <c r="B426" s="10" t="s">
        <v>523</v>
      </c>
      <c r="C426" s="10" t="str">
        <f t="shared" si="6"/>
        <v>74</v>
      </c>
      <c r="D426" s="12" t="s">
        <v>69</v>
      </c>
      <c r="E426" s="12">
        <v>12.2</v>
      </c>
      <c r="F426" s="12">
        <v>71.349999999999994</v>
      </c>
      <c r="G426" s="12">
        <v>40481000</v>
      </c>
      <c r="H426" s="12">
        <v>5.42</v>
      </c>
      <c r="I426" s="8">
        <v>257011</v>
      </c>
      <c r="J42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7" spans="1:10" x14ac:dyDescent="0.3">
      <c r="A427" s="10">
        <v>7404</v>
      </c>
      <c r="B427" s="10" t="s">
        <v>524</v>
      </c>
      <c r="C427" s="10" t="str">
        <f t="shared" si="6"/>
        <v>74</v>
      </c>
      <c r="D427" s="12" t="s">
        <v>69</v>
      </c>
      <c r="E427" s="12">
        <v>11.63</v>
      </c>
      <c r="F427" s="12">
        <v>73.45</v>
      </c>
      <c r="G427" s="12">
        <v>108280000</v>
      </c>
      <c r="H427" s="12">
        <v>5.29</v>
      </c>
      <c r="I427" s="8">
        <v>237587</v>
      </c>
      <c r="J42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8" spans="1:10" x14ac:dyDescent="0.3">
      <c r="A428" s="10">
        <v>7405</v>
      </c>
      <c r="B428" s="10" t="s">
        <v>525</v>
      </c>
      <c r="C428" s="10" t="str">
        <f t="shared" si="6"/>
        <v>74</v>
      </c>
      <c r="D428" s="12" t="s">
        <v>69</v>
      </c>
      <c r="E428" s="12">
        <v>10.74</v>
      </c>
      <c r="F428" s="12">
        <v>68.2</v>
      </c>
      <c r="G428" s="12">
        <v>38444000</v>
      </c>
      <c r="H428" s="12">
        <v>2.58</v>
      </c>
      <c r="I428" s="8">
        <v>308524</v>
      </c>
      <c r="J42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9" spans="1:10" x14ac:dyDescent="0.3">
      <c r="A429" s="10">
        <v>7406</v>
      </c>
      <c r="B429" s="10" t="s">
        <v>526</v>
      </c>
      <c r="C429" s="10" t="str">
        <f t="shared" si="6"/>
        <v>74</v>
      </c>
      <c r="D429" s="12" t="s">
        <v>69</v>
      </c>
      <c r="E429" s="12">
        <v>10.01</v>
      </c>
      <c r="F429" s="12">
        <v>66.05</v>
      </c>
      <c r="G429" s="12">
        <v>43584000</v>
      </c>
      <c r="H429" s="12">
        <v>2.74</v>
      </c>
      <c r="I429" s="8">
        <v>150706</v>
      </c>
      <c r="J42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0" spans="1:10" x14ac:dyDescent="0.3">
      <c r="A430" s="10">
        <v>7407</v>
      </c>
      <c r="B430" s="10" t="s">
        <v>527</v>
      </c>
      <c r="C430" s="10" t="str">
        <f t="shared" si="6"/>
        <v>74</v>
      </c>
      <c r="D430" s="12" t="s">
        <v>69</v>
      </c>
      <c r="E430" s="12">
        <v>14.31</v>
      </c>
      <c r="F430" s="12">
        <v>69.48</v>
      </c>
      <c r="G430" s="12">
        <v>39912000</v>
      </c>
      <c r="H430" s="12">
        <v>4.18</v>
      </c>
      <c r="I430" s="8">
        <v>111402</v>
      </c>
      <c r="J43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1" spans="1:10" x14ac:dyDescent="0.3">
      <c r="A431" s="10">
        <v>7408</v>
      </c>
      <c r="B431" s="10" t="s">
        <v>528</v>
      </c>
      <c r="C431" s="10" t="str">
        <f t="shared" si="6"/>
        <v>74</v>
      </c>
      <c r="D431" s="12" t="s">
        <v>69</v>
      </c>
      <c r="E431" s="12">
        <v>12.96</v>
      </c>
      <c r="F431" s="12">
        <v>69.31</v>
      </c>
      <c r="G431" s="12">
        <v>64342000</v>
      </c>
      <c r="H431" s="12">
        <v>2.13</v>
      </c>
      <c r="I431" s="8">
        <v>137659</v>
      </c>
      <c r="J43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2" spans="1:10" x14ac:dyDescent="0.3">
      <c r="A432" s="10">
        <v>7409</v>
      </c>
      <c r="B432" s="10" t="s">
        <v>529</v>
      </c>
      <c r="C432" s="10" t="str">
        <f t="shared" si="6"/>
        <v>74</v>
      </c>
      <c r="D432" s="12" t="s">
        <v>69</v>
      </c>
      <c r="E432" s="12">
        <v>14.1</v>
      </c>
      <c r="F432" s="12">
        <v>67.87</v>
      </c>
      <c r="G432" s="12">
        <v>48371000</v>
      </c>
      <c r="H432" s="12">
        <v>4.1100000000000003</v>
      </c>
      <c r="I432" s="8">
        <v>66653</v>
      </c>
      <c r="J43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3" spans="1:10" x14ac:dyDescent="0.3">
      <c r="A433" s="10">
        <v>7410</v>
      </c>
      <c r="B433" s="10" t="s">
        <v>530</v>
      </c>
      <c r="C433" s="10" t="str">
        <f t="shared" si="6"/>
        <v>74</v>
      </c>
      <c r="D433" s="12" t="s">
        <v>69</v>
      </c>
      <c r="E433" s="12">
        <v>13.53</v>
      </c>
      <c r="F433" s="12">
        <v>69.86</v>
      </c>
      <c r="G433" s="12">
        <v>58672000</v>
      </c>
      <c r="H433" s="12">
        <v>3.79</v>
      </c>
      <c r="I433" s="8">
        <v>67871</v>
      </c>
      <c r="J43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4" spans="1:10" x14ac:dyDescent="0.3">
      <c r="A434" s="10">
        <v>7411</v>
      </c>
      <c r="B434" s="10" t="s">
        <v>531</v>
      </c>
      <c r="C434" s="10" t="str">
        <f t="shared" si="6"/>
        <v>74</v>
      </c>
      <c r="D434" s="12" t="s">
        <v>69</v>
      </c>
      <c r="E434" s="12">
        <v>13.47</v>
      </c>
      <c r="F434" s="12">
        <v>67.02</v>
      </c>
      <c r="G434" s="12">
        <v>37230000</v>
      </c>
      <c r="H434" s="12">
        <v>3.29</v>
      </c>
      <c r="I434" s="8">
        <v>120699</v>
      </c>
      <c r="J43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5" spans="1:10" x14ac:dyDescent="0.3">
      <c r="A435" s="10">
        <v>7412</v>
      </c>
      <c r="B435" s="10" t="s">
        <v>532</v>
      </c>
      <c r="C435" s="10" t="str">
        <f t="shared" si="6"/>
        <v>74</v>
      </c>
      <c r="D435" s="12" t="s">
        <v>69</v>
      </c>
      <c r="E435" s="12">
        <v>17.010000000000002</v>
      </c>
      <c r="F435" s="12">
        <v>65.41</v>
      </c>
      <c r="G435" s="12">
        <v>37900000</v>
      </c>
      <c r="H435" s="12">
        <v>1.55</v>
      </c>
      <c r="I435" s="8">
        <v>37050</v>
      </c>
      <c r="J43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6" spans="1:10" x14ac:dyDescent="0.3">
      <c r="A436" s="10">
        <v>7413</v>
      </c>
      <c r="B436" s="10" t="s">
        <v>533</v>
      </c>
      <c r="C436" s="10" t="str">
        <f t="shared" si="6"/>
        <v>74</v>
      </c>
      <c r="D436" s="12" t="s">
        <v>69</v>
      </c>
      <c r="E436" s="12">
        <v>13.3</v>
      </c>
      <c r="F436" s="12">
        <v>65.08</v>
      </c>
      <c r="G436" s="12">
        <v>30931000</v>
      </c>
      <c r="H436" s="12">
        <v>3.36</v>
      </c>
      <c r="I436" s="8">
        <v>84590</v>
      </c>
      <c r="J43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7" spans="1:10" x14ac:dyDescent="0.3">
      <c r="A437" s="10">
        <v>7414</v>
      </c>
      <c r="B437" s="10" t="s">
        <v>534</v>
      </c>
      <c r="C437" s="10" t="str">
        <f t="shared" si="6"/>
        <v>74</v>
      </c>
      <c r="D437" s="12" t="s">
        <v>69</v>
      </c>
      <c r="E437" s="12">
        <v>15.32</v>
      </c>
      <c r="F437" s="12">
        <v>64.37</v>
      </c>
      <c r="G437" s="12">
        <v>21246000</v>
      </c>
      <c r="H437" s="12">
        <v>4.22</v>
      </c>
      <c r="I437" s="8">
        <v>114773</v>
      </c>
      <c r="J43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8" spans="1:10" x14ac:dyDescent="0.3">
      <c r="A438" s="10">
        <v>7415</v>
      </c>
      <c r="B438" s="10" t="s">
        <v>535</v>
      </c>
      <c r="C438" s="10" t="str">
        <f t="shared" si="6"/>
        <v>74</v>
      </c>
      <c r="D438" s="12" t="s">
        <v>69</v>
      </c>
      <c r="E438" s="12">
        <v>14.11</v>
      </c>
      <c r="F438" s="12">
        <v>64.930000000000007</v>
      </c>
      <c r="G438" s="12">
        <v>30159000</v>
      </c>
      <c r="H438" s="12">
        <v>3.9</v>
      </c>
      <c r="I438" s="8">
        <v>95261</v>
      </c>
      <c r="J43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9" spans="1:10" x14ac:dyDescent="0.3">
      <c r="A439" s="10">
        <v>7471</v>
      </c>
      <c r="B439" s="10" t="s">
        <v>536</v>
      </c>
      <c r="C439" s="10" t="str">
        <f t="shared" si="6"/>
        <v>74</v>
      </c>
      <c r="D439" s="12" t="s">
        <v>69</v>
      </c>
      <c r="E439" s="12">
        <v>4.34</v>
      </c>
      <c r="F439" s="12">
        <v>83.53</v>
      </c>
      <c r="G439" s="12">
        <v>64117000</v>
      </c>
      <c r="H439" s="12">
        <v>7.08</v>
      </c>
      <c r="I439" s="8">
        <v>345107</v>
      </c>
      <c r="J43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0" spans="1:10" x14ac:dyDescent="0.3">
      <c r="A440" s="10">
        <v>7472</v>
      </c>
      <c r="B440" s="10" t="s">
        <v>537</v>
      </c>
      <c r="C440" s="10" t="str">
        <f t="shared" si="6"/>
        <v>74</v>
      </c>
      <c r="D440" s="12" t="s">
        <v>69</v>
      </c>
      <c r="E440" s="12">
        <v>7.15</v>
      </c>
      <c r="F440" s="12">
        <v>75.900000000000006</v>
      </c>
      <c r="G440" s="12">
        <v>57169000</v>
      </c>
      <c r="H440" s="12">
        <v>6.57</v>
      </c>
      <c r="I440" s="8">
        <v>159248</v>
      </c>
      <c r="J44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1" spans="1:10" x14ac:dyDescent="0.3">
      <c r="A441" s="10">
        <v>7501</v>
      </c>
      <c r="B441" s="10" t="s">
        <v>538</v>
      </c>
      <c r="C441" s="10" t="str">
        <f t="shared" si="6"/>
        <v>75</v>
      </c>
      <c r="D441" s="12" t="s">
        <v>70</v>
      </c>
      <c r="E441" s="12">
        <v>18.57</v>
      </c>
      <c r="F441" s="12">
        <v>65.91</v>
      </c>
      <c r="G441" s="12">
        <v>37722000</v>
      </c>
      <c r="H441" s="12">
        <v>3.66</v>
      </c>
      <c r="I441" s="8">
        <v>145868</v>
      </c>
      <c r="J44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2" spans="1:10" x14ac:dyDescent="0.3">
      <c r="A442" s="10">
        <v>7502</v>
      </c>
      <c r="B442" s="10" t="s">
        <v>70</v>
      </c>
      <c r="C442" s="10" t="str">
        <f t="shared" si="6"/>
        <v>75</v>
      </c>
      <c r="D442" s="12" t="s">
        <v>70</v>
      </c>
      <c r="E442" s="12">
        <v>17.559999999999999</v>
      </c>
      <c r="F442" s="12">
        <v>66.92</v>
      </c>
      <c r="G442" s="12">
        <v>33240000</v>
      </c>
      <c r="H442" s="12">
        <v>3.41</v>
      </c>
      <c r="I442" s="8">
        <v>393107</v>
      </c>
      <c r="J44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3" spans="1:10" x14ac:dyDescent="0.3">
      <c r="A443" s="10">
        <v>7503</v>
      </c>
      <c r="B443" s="10" t="s">
        <v>539</v>
      </c>
      <c r="C443" s="10" t="str">
        <f t="shared" si="6"/>
        <v>75</v>
      </c>
      <c r="D443" s="12" t="s">
        <v>70</v>
      </c>
      <c r="E443" s="12">
        <v>17.62</v>
      </c>
      <c r="F443" s="12">
        <v>65.37</v>
      </c>
      <c r="G443" s="12">
        <v>46113000</v>
      </c>
      <c r="H443" s="12">
        <v>3.1</v>
      </c>
      <c r="I443" s="8">
        <v>146432</v>
      </c>
      <c r="J44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4" spans="1:10" x14ac:dyDescent="0.3">
      <c r="A444" s="10">
        <v>7504</v>
      </c>
      <c r="B444" s="10" t="s">
        <v>540</v>
      </c>
      <c r="C444" s="10" t="str">
        <f t="shared" si="6"/>
        <v>75</v>
      </c>
      <c r="D444" s="12" t="s">
        <v>70</v>
      </c>
      <c r="E444" s="12">
        <v>15.81</v>
      </c>
      <c r="F444" s="12">
        <v>69.98</v>
      </c>
      <c r="G444" s="12">
        <v>28634000</v>
      </c>
      <c r="H444" s="12">
        <v>4.4800000000000004</v>
      </c>
      <c r="I444" s="8">
        <v>162778</v>
      </c>
      <c r="J44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5" spans="1:10" x14ac:dyDescent="0.3">
      <c r="A445" s="10">
        <v>7505</v>
      </c>
      <c r="B445" s="10" t="s">
        <v>541</v>
      </c>
      <c r="C445" s="10" t="str">
        <f t="shared" si="6"/>
        <v>75</v>
      </c>
      <c r="D445" s="12" t="s">
        <v>70</v>
      </c>
      <c r="E445" s="12">
        <v>16.88</v>
      </c>
      <c r="F445" s="12">
        <v>64.86</v>
      </c>
      <c r="G445" s="12">
        <v>27548000</v>
      </c>
      <c r="H445" s="12">
        <v>5.21</v>
      </c>
      <c r="I445" s="8">
        <v>124957</v>
      </c>
      <c r="J44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6" spans="1:10" x14ac:dyDescent="0.3">
      <c r="A446" s="10">
        <v>7571</v>
      </c>
      <c r="B446" s="10" t="s">
        <v>542</v>
      </c>
      <c r="C446" s="10" t="str">
        <f t="shared" si="6"/>
        <v>75</v>
      </c>
      <c r="D446" s="12" t="s">
        <v>70</v>
      </c>
      <c r="E446" s="12">
        <v>5.59</v>
      </c>
      <c r="F446" s="12">
        <v>77.13</v>
      </c>
      <c r="G446" s="12">
        <v>43064000</v>
      </c>
      <c r="H446" s="12">
        <v>6.52</v>
      </c>
      <c r="I446" s="8">
        <v>198539</v>
      </c>
      <c r="J44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7" spans="1:10" x14ac:dyDescent="0.3">
      <c r="A447" s="10">
        <v>7601</v>
      </c>
      <c r="B447" s="10" t="s">
        <v>543</v>
      </c>
      <c r="C447" s="10" t="str">
        <f t="shared" si="6"/>
        <v>76</v>
      </c>
      <c r="D447" s="12" t="s">
        <v>71</v>
      </c>
      <c r="E447" s="12">
        <v>13.73</v>
      </c>
      <c r="F447" s="12">
        <v>66.91</v>
      </c>
      <c r="G447" s="12">
        <v>28633000</v>
      </c>
      <c r="H447" s="12">
        <v>4.26</v>
      </c>
      <c r="I447" s="8">
        <v>174407</v>
      </c>
      <c r="J44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8" spans="1:10" x14ac:dyDescent="0.3">
      <c r="A448" s="10">
        <v>7602</v>
      </c>
      <c r="B448" s="10" t="s">
        <v>544</v>
      </c>
      <c r="C448" s="10" t="str">
        <f t="shared" si="6"/>
        <v>76</v>
      </c>
      <c r="D448" s="12" t="s">
        <v>71</v>
      </c>
      <c r="E448" s="12">
        <v>15.26</v>
      </c>
      <c r="F448" s="12">
        <v>63.84</v>
      </c>
      <c r="G448" s="12">
        <v>27807000</v>
      </c>
      <c r="H448" s="12">
        <v>3.15</v>
      </c>
      <c r="I448" s="8">
        <v>478534</v>
      </c>
      <c r="J44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9" spans="1:10" x14ac:dyDescent="0.3">
      <c r="A449" s="10">
        <v>7603</v>
      </c>
      <c r="B449" s="10" t="s">
        <v>545</v>
      </c>
      <c r="C449" s="10" t="str">
        <f t="shared" si="6"/>
        <v>76</v>
      </c>
      <c r="D449" s="12" t="s">
        <v>71</v>
      </c>
      <c r="E449" s="12">
        <v>13.38</v>
      </c>
      <c r="F449" s="12">
        <v>66.02</v>
      </c>
      <c r="G449" s="12">
        <v>18343000</v>
      </c>
      <c r="H449" s="12">
        <v>3.67</v>
      </c>
      <c r="I449" s="8">
        <v>163383</v>
      </c>
      <c r="J44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0" spans="1:10" x14ac:dyDescent="0.3">
      <c r="A450" s="10">
        <v>7604</v>
      </c>
      <c r="B450" s="10" t="s">
        <v>546</v>
      </c>
      <c r="C450" s="10" t="str">
        <f t="shared" ref="C450:C515" si="7">LEFT(A450,2)</f>
        <v>76</v>
      </c>
      <c r="D450" s="12" t="s">
        <v>71</v>
      </c>
      <c r="E450" s="12">
        <v>6.92</v>
      </c>
      <c r="F450" s="12">
        <v>68.150000000000006</v>
      </c>
      <c r="G450" s="12">
        <v>42076000</v>
      </c>
      <c r="H450" s="12">
        <v>2.89</v>
      </c>
      <c r="I450" s="8">
        <v>278764</v>
      </c>
      <c r="J45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1" spans="1:10" x14ac:dyDescent="0.3">
      <c r="A451" s="10">
        <v>7605</v>
      </c>
      <c r="B451" s="10" t="s">
        <v>547</v>
      </c>
      <c r="C451" s="10" t="str">
        <f t="shared" si="7"/>
        <v>76</v>
      </c>
      <c r="D451" s="12" t="s">
        <v>71</v>
      </c>
      <c r="E451" s="12">
        <v>4.4800000000000004</v>
      </c>
      <c r="F451" s="12">
        <v>67.790000000000006</v>
      </c>
      <c r="G451" s="12">
        <v>54821000</v>
      </c>
      <c r="H451" s="12">
        <v>3.7</v>
      </c>
      <c r="I451" s="8">
        <v>188861</v>
      </c>
      <c r="J45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2" spans="1:10" x14ac:dyDescent="0.3">
      <c r="A452" s="10">
        <v>7606</v>
      </c>
      <c r="B452" s="10" t="s">
        <v>548</v>
      </c>
      <c r="C452" s="10" t="str">
        <f t="shared" si="7"/>
        <v>76</v>
      </c>
      <c r="D452" s="12" t="s">
        <v>71</v>
      </c>
      <c r="E452" s="12">
        <v>6.79</v>
      </c>
      <c r="F452" s="12">
        <v>65.709999999999994</v>
      </c>
      <c r="G452" s="12">
        <v>23849000</v>
      </c>
      <c r="H452" s="12">
        <v>2.71</v>
      </c>
      <c r="I452" s="8">
        <v>135280</v>
      </c>
      <c r="J45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3" spans="1:10" x14ac:dyDescent="0.3">
      <c r="A453" s="10">
        <v>8101</v>
      </c>
      <c r="B453" s="10" t="s">
        <v>549</v>
      </c>
      <c r="C453" s="10" t="str">
        <f t="shared" si="7"/>
        <v>81</v>
      </c>
      <c r="D453" s="12" t="s">
        <v>72</v>
      </c>
      <c r="E453" s="12">
        <v>27.11</v>
      </c>
      <c r="F453" s="12">
        <v>62.86</v>
      </c>
      <c r="G453" s="12">
        <v>21989000</v>
      </c>
      <c r="H453" s="12">
        <v>4.51</v>
      </c>
      <c r="I453" s="8">
        <v>123572</v>
      </c>
      <c r="J45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4" spans="1:10" x14ac:dyDescent="0.3">
      <c r="A454" s="10">
        <v>8102</v>
      </c>
      <c r="B454" s="10" t="s">
        <v>550</v>
      </c>
      <c r="C454" s="10" t="str">
        <f t="shared" si="7"/>
        <v>81</v>
      </c>
      <c r="D454" s="12" t="s">
        <v>72</v>
      </c>
      <c r="E454" s="12">
        <v>22.57</v>
      </c>
      <c r="F454" s="12">
        <v>66.2</v>
      </c>
      <c r="G454" s="12">
        <v>26927000</v>
      </c>
      <c r="H454" s="12">
        <v>4.95</v>
      </c>
      <c r="I454" s="8">
        <v>121511</v>
      </c>
      <c r="J45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5" spans="1:10" x14ac:dyDescent="0.3">
      <c r="A455" s="10">
        <v>8103</v>
      </c>
      <c r="B455" s="10" t="s">
        <v>551</v>
      </c>
      <c r="C455" s="10" t="str">
        <f t="shared" si="7"/>
        <v>81</v>
      </c>
      <c r="D455" s="12" t="s">
        <v>72</v>
      </c>
      <c r="E455" s="12">
        <v>19.829999999999998</v>
      </c>
      <c r="F455" s="12">
        <v>71.25</v>
      </c>
      <c r="G455" s="12">
        <v>20642000</v>
      </c>
      <c r="H455" s="12">
        <v>7.93</v>
      </c>
      <c r="I455" s="8">
        <v>423094</v>
      </c>
      <c r="J45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6" spans="1:10" x14ac:dyDescent="0.3">
      <c r="A456" s="10">
        <v>8104</v>
      </c>
      <c r="B456" s="10" t="s">
        <v>552</v>
      </c>
      <c r="C456" s="10" t="str">
        <f t="shared" si="7"/>
        <v>81</v>
      </c>
      <c r="D456" s="12" t="s">
        <v>72</v>
      </c>
      <c r="E456" s="12">
        <v>16.64</v>
      </c>
      <c r="F456" s="12">
        <v>68.95</v>
      </c>
      <c r="G456" s="12">
        <v>17988000</v>
      </c>
      <c r="H456" s="12">
        <v>6.28</v>
      </c>
      <c r="I456" s="8">
        <v>135238</v>
      </c>
      <c r="J45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7" spans="1:10" x14ac:dyDescent="0.3">
      <c r="A457" s="10">
        <v>8105</v>
      </c>
      <c r="B457" s="10" t="s">
        <v>553</v>
      </c>
      <c r="C457" s="10" t="str">
        <f t="shared" si="7"/>
        <v>81</v>
      </c>
      <c r="D457" s="12" t="s">
        <v>72</v>
      </c>
      <c r="E457" s="12">
        <v>26.26</v>
      </c>
      <c r="F457" s="12">
        <v>63.71</v>
      </c>
      <c r="G457" s="12">
        <v>34361000</v>
      </c>
      <c r="H457" s="12">
        <v>3.83</v>
      </c>
      <c r="I457" s="8">
        <v>102237</v>
      </c>
      <c r="J45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8" spans="1:10" x14ac:dyDescent="0.3">
      <c r="A458" s="10">
        <v>8106</v>
      </c>
      <c r="B458" s="10" t="s">
        <v>554</v>
      </c>
      <c r="C458" s="10" t="str">
        <f t="shared" si="7"/>
        <v>81</v>
      </c>
      <c r="D458" s="12" t="s">
        <v>72</v>
      </c>
      <c r="E458" s="12">
        <v>25.11</v>
      </c>
      <c r="F458" s="12">
        <v>65.62</v>
      </c>
      <c r="G458" s="12">
        <v>14324000</v>
      </c>
      <c r="H458" s="12">
        <v>5.47</v>
      </c>
      <c r="I458" s="8">
        <v>212393</v>
      </c>
      <c r="J45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9" spans="1:10" x14ac:dyDescent="0.3">
      <c r="A459" s="10">
        <v>8107</v>
      </c>
      <c r="B459" s="10" t="s">
        <v>555</v>
      </c>
      <c r="C459" s="10" t="str">
        <f t="shared" si="7"/>
        <v>81</v>
      </c>
      <c r="D459" s="12" t="s">
        <v>72</v>
      </c>
      <c r="E459" s="12">
        <v>23.04</v>
      </c>
      <c r="F459" s="12">
        <v>64.12</v>
      </c>
      <c r="G459" s="12">
        <v>21250000</v>
      </c>
      <c r="H459" s="12">
        <v>3.61</v>
      </c>
      <c r="I459" s="8">
        <v>137972</v>
      </c>
      <c r="J45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0" spans="1:10" x14ac:dyDescent="0.3">
      <c r="A460" s="10">
        <v>8108</v>
      </c>
      <c r="B460" s="10" t="s">
        <v>556</v>
      </c>
      <c r="C460" s="10" t="str">
        <f t="shared" si="7"/>
        <v>81</v>
      </c>
      <c r="D460" s="12" t="s">
        <v>72</v>
      </c>
      <c r="E460" s="12">
        <v>29.15</v>
      </c>
      <c r="F460" s="12">
        <v>61.9</v>
      </c>
      <c r="G460" s="12">
        <v>20419000</v>
      </c>
      <c r="H460" s="12">
        <v>3.6</v>
      </c>
      <c r="I460" s="8">
        <v>81928</v>
      </c>
      <c r="J46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1" spans="1:10" x14ac:dyDescent="0.3">
      <c r="A461" s="10">
        <v>8109</v>
      </c>
      <c r="B461" s="10" t="s">
        <v>557</v>
      </c>
      <c r="C461" s="10" t="str">
        <f t="shared" si="7"/>
        <v>81</v>
      </c>
      <c r="D461" s="12" t="s">
        <v>72</v>
      </c>
      <c r="E461" s="12">
        <v>15.75</v>
      </c>
      <c r="F461" s="12">
        <v>64.69</v>
      </c>
      <c r="G461" s="12">
        <v>18931000</v>
      </c>
      <c r="H461" s="12">
        <v>2.31</v>
      </c>
      <c r="I461" s="8">
        <v>75410</v>
      </c>
      <c r="J46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2" spans="1:10" x14ac:dyDescent="0.3">
      <c r="A462" s="10">
        <v>8171</v>
      </c>
      <c r="B462" s="10" t="s">
        <v>558</v>
      </c>
      <c r="C462" s="10" t="str">
        <f t="shared" si="7"/>
        <v>81</v>
      </c>
      <c r="D462" s="12" t="s">
        <v>72</v>
      </c>
      <c r="E462" s="12">
        <v>4.51</v>
      </c>
      <c r="F462" s="12">
        <v>80.84</v>
      </c>
      <c r="G462" s="12">
        <v>42377000</v>
      </c>
      <c r="H462" s="12">
        <v>12.84</v>
      </c>
      <c r="I462" s="8">
        <v>347288</v>
      </c>
      <c r="J46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3" spans="1:10" x14ac:dyDescent="0.3">
      <c r="A463" s="10">
        <v>8172</v>
      </c>
      <c r="B463" s="10" t="s">
        <v>559</v>
      </c>
      <c r="C463" s="10" t="str">
        <f t="shared" si="7"/>
        <v>81</v>
      </c>
      <c r="D463" s="12" t="s">
        <v>72</v>
      </c>
      <c r="E463" s="12">
        <v>22.51</v>
      </c>
      <c r="F463" s="12">
        <v>67.959999999999994</v>
      </c>
      <c r="G463" s="12">
        <v>28458000</v>
      </c>
      <c r="H463" s="12">
        <v>8.6999999999999993</v>
      </c>
      <c r="I463" s="8">
        <v>88280</v>
      </c>
      <c r="J46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4" spans="1:10" x14ac:dyDescent="0.3">
      <c r="A464" s="10">
        <v>8201</v>
      </c>
      <c r="B464" s="10" t="s">
        <v>560</v>
      </c>
      <c r="C464" s="10" t="str">
        <f t="shared" si="7"/>
        <v>82</v>
      </c>
      <c r="D464" s="12" t="s">
        <v>73</v>
      </c>
      <c r="E464" s="12">
        <v>8.82</v>
      </c>
      <c r="F464" s="12">
        <v>65.31</v>
      </c>
      <c r="G464" s="12">
        <v>17279000</v>
      </c>
      <c r="H464" s="12">
        <v>3.26</v>
      </c>
      <c r="I464" s="8">
        <v>132349</v>
      </c>
      <c r="J46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5" spans="1:10" x14ac:dyDescent="0.3">
      <c r="A465" s="10">
        <v>8202</v>
      </c>
      <c r="B465" s="10" t="s">
        <v>561</v>
      </c>
      <c r="C465" s="10" t="str">
        <f t="shared" si="7"/>
        <v>82</v>
      </c>
      <c r="D465" s="12" t="s">
        <v>73</v>
      </c>
      <c r="E465" s="12">
        <v>13.56</v>
      </c>
      <c r="F465" s="12">
        <v>65.42</v>
      </c>
      <c r="G465" s="12">
        <v>58226000</v>
      </c>
      <c r="H465" s="12">
        <v>6.74</v>
      </c>
      <c r="I465" s="8">
        <v>56802</v>
      </c>
      <c r="J46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6" spans="1:10" x14ac:dyDescent="0.3">
      <c r="A466" s="10">
        <v>8203</v>
      </c>
      <c r="B466" s="10" t="s">
        <v>562</v>
      </c>
      <c r="C466" s="10" t="str">
        <f t="shared" si="7"/>
        <v>82</v>
      </c>
      <c r="D466" s="12" t="s">
        <v>73</v>
      </c>
      <c r="E466" s="12">
        <v>8.35</v>
      </c>
      <c r="F466" s="12">
        <v>63.53</v>
      </c>
      <c r="G466" s="12">
        <v>24156000</v>
      </c>
      <c r="H466" s="12">
        <v>4.9000000000000004</v>
      </c>
      <c r="I466" s="8">
        <v>104082</v>
      </c>
      <c r="J46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7" spans="1:10" x14ac:dyDescent="0.3">
      <c r="A467" s="10">
        <v>8204</v>
      </c>
      <c r="B467" s="10" t="s">
        <v>563</v>
      </c>
      <c r="C467" s="10" t="str">
        <f t="shared" si="7"/>
        <v>82</v>
      </c>
      <c r="D467" s="12" t="s">
        <v>73</v>
      </c>
      <c r="E467" s="12">
        <v>5.21</v>
      </c>
      <c r="F467" s="12">
        <v>63.84</v>
      </c>
      <c r="G467" s="12">
        <v>35197000</v>
      </c>
      <c r="H467" s="12">
        <v>4.4000000000000004</v>
      </c>
      <c r="I467" s="8">
        <v>248395</v>
      </c>
      <c r="J46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8" spans="1:10" x14ac:dyDescent="0.3">
      <c r="A468" s="10">
        <v>8205</v>
      </c>
      <c r="B468" s="10" t="s">
        <v>564</v>
      </c>
      <c r="C468" s="10" t="str">
        <f t="shared" si="7"/>
        <v>82</v>
      </c>
      <c r="D468" s="12" t="s">
        <v>73</v>
      </c>
      <c r="E468" s="12">
        <v>4.45</v>
      </c>
      <c r="F468" s="12">
        <v>67.5</v>
      </c>
      <c r="G468" s="12">
        <v>28864000</v>
      </c>
      <c r="H468" s="12">
        <v>6.49</v>
      </c>
      <c r="I468" s="8">
        <v>197638</v>
      </c>
      <c r="J46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9" spans="1:10" x14ac:dyDescent="0.3">
      <c r="A469" s="10">
        <v>8206</v>
      </c>
      <c r="B469" s="10" t="s">
        <v>565</v>
      </c>
      <c r="C469" s="10" t="str">
        <f t="shared" si="7"/>
        <v>82</v>
      </c>
      <c r="D469" s="12" t="s">
        <v>73</v>
      </c>
      <c r="E469" s="12">
        <v>15.45</v>
      </c>
      <c r="F469" s="12">
        <v>66.75</v>
      </c>
      <c r="G469" s="12">
        <v>38744000</v>
      </c>
      <c r="H469" s="12">
        <v>5.21</v>
      </c>
      <c r="I469" s="8">
        <v>91707</v>
      </c>
      <c r="J46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0" spans="1:10" x14ac:dyDescent="0.3">
      <c r="A470" s="10">
        <v>8207</v>
      </c>
      <c r="B470" s="10" t="s">
        <v>566</v>
      </c>
      <c r="C470" s="10" t="str">
        <f t="shared" si="7"/>
        <v>82</v>
      </c>
      <c r="D470" s="12" t="s">
        <v>73</v>
      </c>
      <c r="E470" s="12">
        <v>6.46</v>
      </c>
      <c r="F470" s="12">
        <v>62.5</v>
      </c>
      <c r="G470" s="12">
        <v>21260000</v>
      </c>
      <c r="H470" s="12">
        <v>4.7</v>
      </c>
      <c r="I470" s="8">
        <v>74436</v>
      </c>
      <c r="J47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1" spans="1:10" x14ac:dyDescent="0.3">
      <c r="A471" s="10">
        <v>8208</v>
      </c>
      <c r="B471" s="10" t="s">
        <v>567</v>
      </c>
      <c r="C471" s="10" t="str">
        <f t="shared" si="7"/>
        <v>82</v>
      </c>
      <c r="D471" s="12" t="s">
        <v>73</v>
      </c>
      <c r="E471" s="12">
        <v>7.3</v>
      </c>
      <c r="F471" s="12">
        <v>60.48</v>
      </c>
      <c r="G471" s="12">
        <v>25592000</v>
      </c>
      <c r="H471" s="12">
        <v>4.75</v>
      </c>
      <c r="I471" s="8">
        <v>58047</v>
      </c>
      <c r="J47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2" spans="1:10" x14ac:dyDescent="0.3">
      <c r="A472" s="10">
        <v>8271</v>
      </c>
      <c r="B472" s="10" t="s">
        <v>568</v>
      </c>
      <c r="C472" s="10" t="str">
        <f t="shared" si="7"/>
        <v>82</v>
      </c>
      <c r="D472" s="12" t="s">
        <v>73</v>
      </c>
      <c r="E472" s="12">
        <v>3.46</v>
      </c>
      <c r="F472" s="12">
        <v>79.819999999999993</v>
      </c>
      <c r="G472" s="12">
        <v>51129000</v>
      </c>
      <c r="H472" s="12">
        <v>5.8</v>
      </c>
      <c r="I472" s="8">
        <v>205001</v>
      </c>
      <c r="J47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3" spans="1:10" x14ac:dyDescent="0.3">
      <c r="A473" s="10">
        <v>8272</v>
      </c>
      <c r="B473" s="10" t="s">
        <v>569</v>
      </c>
      <c r="C473" s="10" t="str">
        <f t="shared" si="7"/>
        <v>82</v>
      </c>
      <c r="D473" s="12" t="s">
        <v>73</v>
      </c>
      <c r="E473" s="12">
        <v>6.52</v>
      </c>
      <c r="F473" s="12">
        <v>70.53</v>
      </c>
      <c r="G473" s="12">
        <v>25771000</v>
      </c>
      <c r="H473" s="12">
        <v>4.95</v>
      </c>
      <c r="I473" s="8">
        <v>114480</v>
      </c>
      <c r="J47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4" spans="1:10" x14ac:dyDescent="0.3">
      <c r="A474" s="10">
        <v>9101</v>
      </c>
      <c r="B474" s="10" t="s">
        <v>570</v>
      </c>
      <c r="C474" s="10" t="str">
        <f t="shared" si="7"/>
        <v>91</v>
      </c>
      <c r="D474" s="12" t="s">
        <v>74</v>
      </c>
      <c r="E474" s="12">
        <v>22.27</v>
      </c>
      <c r="F474" s="12">
        <v>68.36</v>
      </c>
      <c r="G474" s="12">
        <v>60954000</v>
      </c>
      <c r="H474" s="12">
        <v>11.45</v>
      </c>
      <c r="I474" s="8">
        <v>85197</v>
      </c>
      <c r="J47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5" spans="1:10" x14ac:dyDescent="0.3">
      <c r="A475" s="10">
        <v>9102</v>
      </c>
      <c r="B475" s="10" t="s">
        <v>571</v>
      </c>
      <c r="C475" s="10" t="str">
        <f t="shared" si="7"/>
        <v>91</v>
      </c>
      <c r="D475" s="12" t="s">
        <v>74</v>
      </c>
      <c r="E475" s="12">
        <v>15.5</v>
      </c>
      <c r="F475" s="12">
        <v>65</v>
      </c>
      <c r="G475" s="12">
        <v>43355000</v>
      </c>
      <c r="H475" s="12">
        <v>6.9</v>
      </c>
      <c r="I475" s="8">
        <v>62256</v>
      </c>
      <c r="J47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6" spans="1:10" x14ac:dyDescent="0.3">
      <c r="A476" s="10">
        <v>9103</v>
      </c>
      <c r="B476" s="10" t="s">
        <v>572</v>
      </c>
      <c r="C476" s="10" t="str">
        <f t="shared" si="7"/>
        <v>91</v>
      </c>
      <c r="D476" s="12" t="s">
        <v>74</v>
      </c>
      <c r="E476" s="12">
        <v>30.91</v>
      </c>
      <c r="F476" s="12">
        <v>60.21</v>
      </c>
      <c r="G476" s="12">
        <v>37093000</v>
      </c>
      <c r="H476" s="12">
        <v>4.43</v>
      </c>
      <c r="I476" s="8">
        <v>41644</v>
      </c>
      <c r="J47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7" spans="1:10" x14ac:dyDescent="0.3">
      <c r="A477" s="10">
        <v>9104</v>
      </c>
      <c r="B477" s="10" t="s">
        <v>573</v>
      </c>
      <c r="C477" s="10" t="str">
        <f t="shared" si="7"/>
        <v>91</v>
      </c>
      <c r="D477" s="12" t="s">
        <v>74</v>
      </c>
      <c r="E477" s="12">
        <v>29.39</v>
      </c>
      <c r="F477" s="12">
        <v>64.55</v>
      </c>
      <c r="G477" s="12">
        <v>357980000</v>
      </c>
      <c r="H477" s="12">
        <v>8.58</v>
      </c>
      <c r="I477" s="8">
        <v>87083</v>
      </c>
      <c r="J47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8" spans="1:10" x14ac:dyDescent="0.3">
      <c r="A478" s="10">
        <v>9105</v>
      </c>
      <c r="B478" s="10" t="s">
        <v>574</v>
      </c>
      <c r="C478" s="10" t="str">
        <f t="shared" si="7"/>
        <v>91</v>
      </c>
      <c r="D478" s="12" t="s">
        <v>74</v>
      </c>
      <c r="E478" s="12">
        <v>20.14</v>
      </c>
      <c r="F478" s="12">
        <v>72.010000000000005</v>
      </c>
      <c r="G478" s="12">
        <v>48416000</v>
      </c>
      <c r="H478" s="12">
        <v>7.47</v>
      </c>
      <c r="I478" s="8">
        <v>192663</v>
      </c>
      <c r="J47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9" spans="1:10" x14ac:dyDescent="0.3">
      <c r="A479" s="10">
        <v>9106</v>
      </c>
      <c r="B479" s="10" t="s">
        <v>575</v>
      </c>
      <c r="C479" s="10" t="str">
        <f t="shared" si="7"/>
        <v>91</v>
      </c>
      <c r="D479" s="12" t="s">
        <v>74</v>
      </c>
      <c r="E479" s="12">
        <v>28.88</v>
      </c>
      <c r="F479" s="12">
        <v>59.84</v>
      </c>
      <c r="G479" s="12">
        <v>35464000</v>
      </c>
      <c r="H479" s="12">
        <v>3.69</v>
      </c>
      <c r="I479" s="8">
        <v>52469</v>
      </c>
      <c r="J47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0" spans="1:10" x14ac:dyDescent="0.3">
      <c r="A480" s="10">
        <v>9107</v>
      </c>
      <c r="B480" s="10" t="s">
        <v>576</v>
      </c>
      <c r="C480" s="10" t="str">
        <f t="shared" si="7"/>
        <v>91</v>
      </c>
      <c r="D480" s="12" t="s">
        <v>74</v>
      </c>
      <c r="E480" s="12">
        <v>33.81</v>
      </c>
      <c r="F480" s="12">
        <v>56.33</v>
      </c>
      <c r="G480" s="12">
        <v>91453000</v>
      </c>
      <c r="H480" s="12">
        <v>3.29</v>
      </c>
      <c r="I480" s="8">
        <v>118679</v>
      </c>
      <c r="J48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1" spans="1:10" x14ac:dyDescent="0.3">
      <c r="A481" s="10">
        <v>9108</v>
      </c>
      <c r="B481" s="10" t="s">
        <v>577</v>
      </c>
      <c r="C481" s="10" t="str">
        <f t="shared" si="7"/>
        <v>91</v>
      </c>
      <c r="D481" s="12" t="s">
        <v>74</v>
      </c>
      <c r="E481" s="12">
        <v>17.010000000000002</v>
      </c>
      <c r="F481" s="12">
        <v>63.89</v>
      </c>
      <c r="G481" s="12">
        <v>46643000</v>
      </c>
      <c r="H481" s="12">
        <v>2.73</v>
      </c>
      <c r="I481" s="8">
        <v>64141</v>
      </c>
      <c r="J48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2" spans="1:10" x14ac:dyDescent="0.3">
      <c r="A482" s="10">
        <v>9109</v>
      </c>
      <c r="B482" s="10" t="s">
        <v>578</v>
      </c>
      <c r="C482" s="10" t="str">
        <f t="shared" si="7"/>
        <v>91</v>
      </c>
      <c r="D482" s="12" t="s">
        <v>74</v>
      </c>
      <c r="E482" s="12">
        <v>27.48</v>
      </c>
      <c r="F482" s="12">
        <v>65.739999999999995</v>
      </c>
      <c r="G482" s="12">
        <v>8720000</v>
      </c>
      <c r="H482" s="12">
        <v>2.46</v>
      </c>
      <c r="I482" s="8">
        <v>28379</v>
      </c>
      <c r="J48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3" spans="1:10" x14ac:dyDescent="0.3">
      <c r="A483" s="10">
        <v>9110</v>
      </c>
      <c r="B483" s="10" t="s">
        <v>579</v>
      </c>
      <c r="C483" s="10" t="str">
        <f t="shared" si="7"/>
        <v>91</v>
      </c>
      <c r="D483" s="12" t="s">
        <v>74</v>
      </c>
      <c r="E483" s="12">
        <v>18.28</v>
      </c>
      <c r="F483" s="12">
        <v>62.42</v>
      </c>
      <c r="G483" s="12">
        <v>17011000</v>
      </c>
      <c r="H483" s="12">
        <v>2.2599999999999998</v>
      </c>
      <c r="I483" s="8">
        <v>42991</v>
      </c>
      <c r="J48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4" spans="1:10" x14ac:dyDescent="0.3">
      <c r="A484" s="10">
        <v>9111</v>
      </c>
      <c r="B484" s="10" t="s">
        <v>580</v>
      </c>
      <c r="C484" s="10" t="str">
        <f t="shared" si="7"/>
        <v>91</v>
      </c>
      <c r="D484" s="12" t="s">
        <v>74</v>
      </c>
      <c r="E484" s="12">
        <v>30.78</v>
      </c>
      <c r="F484" s="12">
        <v>59.52</v>
      </c>
      <c r="G484" s="12">
        <v>23345000</v>
      </c>
      <c r="H484" s="12">
        <v>2.4300000000000002</v>
      </c>
      <c r="I484" s="8">
        <v>35949</v>
      </c>
      <c r="J48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5" spans="1:10" x14ac:dyDescent="0.3">
      <c r="A485" s="10">
        <v>9112</v>
      </c>
      <c r="B485" s="10" t="s">
        <v>581</v>
      </c>
      <c r="C485" s="10" t="str">
        <f t="shared" si="7"/>
        <v>91</v>
      </c>
      <c r="D485" s="12" t="s">
        <v>74</v>
      </c>
      <c r="E485" s="12">
        <v>32.799999999999997</v>
      </c>
      <c r="F485" s="12">
        <v>53.45</v>
      </c>
      <c r="G485" s="12">
        <v>5956000</v>
      </c>
      <c r="H485" s="12">
        <v>1.62</v>
      </c>
      <c r="I485" s="8">
        <v>38207</v>
      </c>
      <c r="J48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6" spans="1:10" x14ac:dyDescent="0.3">
      <c r="A486" s="10">
        <v>9171</v>
      </c>
      <c r="B486" s="10" t="s">
        <v>582</v>
      </c>
      <c r="C486" s="10" t="str">
        <f t="shared" si="7"/>
        <v>91</v>
      </c>
      <c r="D486" s="12" t="s">
        <v>74</v>
      </c>
      <c r="E486" s="12">
        <v>14.99</v>
      </c>
      <c r="F486" s="12">
        <v>78.45</v>
      </c>
      <c r="G486" s="12">
        <v>55129000</v>
      </c>
      <c r="H486" s="12">
        <v>9.93</v>
      </c>
      <c r="I486" s="8">
        <v>284410</v>
      </c>
      <c r="J48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7" spans="1:10" x14ac:dyDescent="0.3">
      <c r="A487" s="10">
        <v>9401</v>
      </c>
      <c r="B487" s="10" t="s">
        <v>592</v>
      </c>
      <c r="C487" s="10" t="str">
        <f t="shared" si="7"/>
        <v>94</v>
      </c>
      <c r="D487" s="12" t="s">
        <v>75</v>
      </c>
      <c r="E487" s="12">
        <v>12.44</v>
      </c>
      <c r="F487" s="12">
        <v>70.09</v>
      </c>
      <c r="G487" s="12">
        <v>69389000</v>
      </c>
      <c r="H487" s="12">
        <v>3.43</v>
      </c>
      <c r="I487" s="8">
        <v>230932</v>
      </c>
      <c r="J48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8" spans="1:10" x14ac:dyDescent="0.3">
      <c r="A488" s="10">
        <v>9402</v>
      </c>
      <c r="B488" s="10" t="s">
        <v>605</v>
      </c>
      <c r="C488" s="10" t="str">
        <f t="shared" si="7"/>
        <v>94</v>
      </c>
      <c r="D488" s="12" t="s">
        <v>75</v>
      </c>
      <c r="E488" s="12">
        <v>10.029999999999999</v>
      </c>
      <c r="F488" s="12">
        <v>58.03</v>
      </c>
      <c r="G488" s="12">
        <v>30734000</v>
      </c>
      <c r="H488" s="12">
        <v>2.5099999999999998</v>
      </c>
      <c r="I488" s="8">
        <v>269553</v>
      </c>
      <c r="J48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9" spans="1:10" x14ac:dyDescent="0.3">
      <c r="A489" s="10">
        <v>9403</v>
      </c>
      <c r="B489" s="10" t="s">
        <v>583</v>
      </c>
      <c r="C489" s="10" t="str">
        <f t="shared" si="7"/>
        <v>94</v>
      </c>
      <c r="D489" s="12" t="s">
        <v>75</v>
      </c>
      <c r="E489" s="12">
        <v>26.3</v>
      </c>
      <c r="F489" s="12">
        <v>71.69</v>
      </c>
      <c r="G489" s="12">
        <v>96474000</v>
      </c>
      <c r="H489" s="12">
        <v>10.33</v>
      </c>
      <c r="I489" s="8">
        <v>166171</v>
      </c>
      <c r="J48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0" spans="1:10" x14ac:dyDescent="0.3">
      <c r="A490" s="10">
        <v>9404</v>
      </c>
      <c r="B490" s="10" t="s">
        <v>599</v>
      </c>
      <c r="C490" s="10" t="str">
        <f t="shared" si="7"/>
        <v>94</v>
      </c>
      <c r="D490" s="12" t="s">
        <v>75</v>
      </c>
      <c r="E490" s="12">
        <v>19.41</v>
      </c>
      <c r="F490" s="12">
        <v>68.83</v>
      </c>
      <c r="G490" s="12">
        <v>66247000</v>
      </c>
      <c r="H490" s="12">
        <v>6.65</v>
      </c>
      <c r="I490" s="8">
        <v>169136</v>
      </c>
      <c r="J49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1" spans="1:10" x14ac:dyDescent="0.3">
      <c r="A491" s="10">
        <v>9408</v>
      </c>
      <c r="B491" s="10" t="s">
        <v>584</v>
      </c>
      <c r="C491" s="10" t="str">
        <f t="shared" si="7"/>
        <v>94</v>
      </c>
      <c r="D491" s="12" t="s">
        <v>75</v>
      </c>
      <c r="E491" s="12">
        <v>24.57</v>
      </c>
      <c r="F491" s="12">
        <v>67.66</v>
      </c>
      <c r="G491" s="12">
        <v>36960000</v>
      </c>
      <c r="H491" s="12">
        <v>5.3</v>
      </c>
      <c r="I491" s="8">
        <v>112676</v>
      </c>
      <c r="J49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2" spans="1:10" x14ac:dyDescent="0.3">
      <c r="A492" s="10">
        <v>9409</v>
      </c>
      <c r="B492" s="10" t="s">
        <v>585</v>
      </c>
      <c r="C492" s="10" t="str">
        <f t="shared" si="7"/>
        <v>94</v>
      </c>
      <c r="D492" s="12" t="s">
        <v>75</v>
      </c>
      <c r="E492" s="12">
        <v>25.04</v>
      </c>
      <c r="F492" s="12">
        <v>72.19</v>
      </c>
      <c r="G492" s="12">
        <v>38803000</v>
      </c>
      <c r="H492" s="12">
        <v>10.38</v>
      </c>
      <c r="I492" s="8">
        <v>134650</v>
      </c>
      <c r="J49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3" spans="1:10" x14ac:dyDescent="0.3">
      <c r="A493" s="10">
        <v>9410</v>
      </c>
      <c r="B493" s="10" t="s">
        <v>600</v>
      </c>
      <c r="C493" s="10" t="str">
        <f t="shared" si="7"/>
        <v>94</v>
      </c>
      <c r="D493" s="12" t="s">
        <v>75</v>
      </c>
      <c r="E493" s="12">
        <v>13.87</v>
      </c>
      <c r="F493" s="12">
        <v>56.31</v>
      </c>
      <c r="G493" s="12">
        <v>19502000</v>
      </c>
      <c r="H493" s="12">
        <v>0.83</v>
      </c>
      <c r="I493" s="8">
        <v>220410</v>
      </c>
      <c r="J49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4" spans="1:10" x14ac:dyDescent="0.3">
      <c r="A494" s="10">
        <v>9411</v>
      </c>
      <c r="B494" s="10" t="s">
        <v>603</v>
      </c>
      <c r="C494" s="10" t="str">
        <f t="shared" si="7"/>
        <v>94</v>
      </c>
      <c r="D494" s="12" t="s">
        <v>75</v>
      </c>
      <c r="E494" s="12">
        <v>25.49</v>
      </c>
      <c r="F494" s="12">
        <v>48.37</v>
      </c>
      <c r="G494" s="12">
        <v>6200000</v>
      </c>
      <c r="H494" s="12">
        <v>1.5</v>
      </c>
      <c r="I494" s="8">
        <v>224527</v>
      </c>
      <c r="J49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5" spans="1:10" x14ac:dyDescent="0.3">
      <c r="A495" s="10">
        <v>9412</v>
      </c>
      <c r="B495" s="10" t="s">
        <v>596</v>
      </c>
      <c r="C495" s="10" t="str">
        <f t="shared" si="7"/>
        <v>94</v>
      </c>
      <c r="D495" s="12" t="s">
        <v>75</v>
      </c>
      <c r="E495" s="12">
        <v>16.32</v>
      </c>
      <c r="F495" s="12">
        <v>74.19</v>
      </c>
      <c r="G495" s="12">
        <v>204961000</v>
      </c>
      <c r="H495" s="12">
        <v>7.8</v>
      </c>
      <c r="I495" s="8">
        <v>311969</v>
      </c>
      <c r="J49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6" spans="1:10" x14ac:dyDescent="0.3">
      <c r="A496" s="10">
        <v>9413</v>
      </c>
      <c r="B496" s="10" t="s">
        <v>593</v>
      </c>
      <c r="C496" s="10" t="str">
        <f t="shared" si="7"/>
        <v>94</v>
      </c>
      <c r="D496" s="12" t="s">
        <v>75</v>
      </c>
      <c r="E496" s="12">
        <v>14.26</v>
      </c>
      <c r="F496" s="12">
        <v>61.53</v>
      </c>
      <c r="G496" s="12">
        <v>75065000</v>
      </c>
      <c r="H496" s="12">
        <v>8.09</v>
      </c>
      <c r="I496" s="8">
        <v>64285</v>
      </c>
      <c r="J49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7" spans="1:10" x14ac:dyDescent="0.3">
      <c r="A497" s="10">
        <v>9414</v>
      </c>
      <c r="B497" s="10" t="s">
        <v>594</v>
      </c>
      <c r="C497" s="10" t="str">
        <f t="shared" si="7"/>
        <v>94</v>
      </c>
      <c r="D497" s="12" t="s">
        <v>75</v>
      </c>
      <c r="E497" s="12">
        <v>29.54</v>
      </c>
      <c r="F497" s="12">
        <v>58.15</v>
      </c>
      <c r="G497" s="12">
        <v>27704000</v>
      </c>
      <c r="H497" s="12">
        <v>5.77</v>
      </c>
      <c r="I497" s="8">
        <v>108295</v>
      </c>
      <c r="J49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8" spans="1:10" x14ac:dyDescent="0.3">
      <c r="A498" s="10">
        <v>9415</v>
      </c>
      <c r="B498" s="10" t="s">
        <v>595</v>
      </c>
      <c r="C498" s="10" t="str">
        <f t="shared" si="7"/>
        <v>94</v>
      </c>
      <c r="D498" s="12" t="s">
        <v>75</v>
      </c>
      <c r="E498" s="12">
        <v>28.62</v>
      </c>
      <c r="F498" s="12">
        <v>50.55</v>
      </c>
      <c r="G498" s="12">
        <v>23415000</v>
      </c>
      <c r="H498" s="12">
        <v>2.38</v>
      </c>
      <c r="I498" s="8">
        <v>110105</v>
      </c>
      <c r="J49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9" spans="1:10" x14ac:dyDescent="0.3">
      <c r="A499" s="10">
        <v>9416</v>
      </c>
      <c r="B499" s="10" t="s">
        <v>610</v>
      </c>
      <c r="C499" s="10" t="str">
        <f t="shared" si="7"/>
        <v>94</v>
      </c>
      <c r="D499" s="12" t="s">
        <v>75</v>
      </c>
      <c r="E499" s="12">
        <v>36.909999999999997</v>
      </c>
      <c r="F499" s="12">
        <v>49.37</v>
      </c>
      <c r="G499" s="12">
        <v>7162000</v>
      </c>
      <c r="H499" s="12">
        <v>3.88</v>
      </c>
      <c r="I499" s="8">
        <v>350880</v>
      </c>
      <c r="J49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0" spans="1:10" x14ac:dyDescent="0.3">
      <c r="A500" s="10">
        <v>9417</v>
      </c>
      <c r="B500" s="10" t="s">
        <v>611</v>
      </c>
      <c r="C500" s="10" t="str">
        <f t="shared" si="7"/>
        <v>94</v>
      </c>
      <c r="D500" s="12" t="s">
        <v>75</v>
      </c>
      <c r="E500" s="12">
        <v>41.76</v>
      </c>
      <c r="F500" s="12">
        <v>45.44</v>
      </c>
      <c r="G500" s="12">
        <v>25284000</v>
      </c>
      <c r="H500" s="12">
        <v>4.12</v>
      </c>
      <c r="I500" s="8">
        <v>77872</v>
      </c>
      <c r="J50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1" spans="1:10" x14ac:dyDescent="0.3">
      <c r="A501" s="10">
        <v>9418</v>
      </c>
      <c r="B501" s="10" t="s">
        <v>607</v>
      </c>
      <c r="C501" s="10" t="str">
        <f t="shared" si="7"/>
        <v>94</v>
      </c>
      <c r="D501" s="12" t="s">
        <v>75</v>
      </c>
      <c r="E501" s="12">
        <v>28.38</v>
      </c>
      <c r="F501" s="12">
        <v>49.5</v>
      </c>
      <c r="G501" s="12">
        <v>7082000</v>
      </c>
      <c r="H501" s="12">
        <v>1.07</v>
      </c>
      <c r="I501" s="8">
        <v>236986</v>
      </c>
      <c r="J50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2" spans="1:10" x14ac:dyDescent="0.3">
      <c r="A502" s="10">
        <v>9419</v>
      </c>
      <c r="B502" s="10" t="s">
        <v>586</v>
      </c>
      <c r="C502" s="10" t="str">
        <f t="shared" si="7"/>
        <v>94</v>
      </c>
      <c r="D502" s="12" t="s">
        <v>75</v>
      </c>
      <c r="E502" s="12">
        <v>24.15</v>
      </c>
      <c r="F502" s="12">
        <v>63.63</v>
      </c>
      <c r="G502" s="12">
        <v>70862000</v>
      </c>
      <c r="H502" s="12">
        <v>4.83</v>
      </c>
      <c r="I502" s="8">
        <v>41515</v>
      </c>
      <c r="J50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3" spans="1:10" x14ac:dyDescent="0.3">
      <c r="A503" s="10">
        <v>9420</v>
      </c>
      <c r="B503" s="10" t="s">
        <v>587</v>
      </c>
      <c r="C503" s="10" t="str">
        <f t="shared" si="7"/>
        <v>94</v>
      </c>
      <c r="D503" s="12" t="s">
        <v>75</v>
      </c>
      <c r="E503" s="12">
        <v>36.71</v>
      </c>
      <c r="F503" s="12">
        <v>66.400000000000006</v>
      </c>
      <c r="G503" s="12">
        <v>47548000</v>
      </c>
      <c r="H503" s="12">
        <v>2.56</v>
      </c>
      <c r="I503" s="8">
        <v>61623</v>
      </c>
      <c r="J50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4" spans="1:10" x14ac:dyDescent="0.3">
      <c r="A504" s="10">
        <v>9426</v>
      </c>
      <c r="B504" s="10" t="s">
        <v>588</v>
      </c>
      <c r="C504" s="10" t="str">
        <f t="shared" si="7"/>
        <v>94</v>
      </c>
      <c r="D504" s="12" t="s">
        <v>75</v>
      </c>
      <c r="E504" s="12">
        <v>40.71</v>
      </c>
      <c r="F504" s="12">
        <v>64.94</v>
      </c>
      <c r="G504" s="12">
        <v>60453000</v>
      </c>
      <c r="H504" s="12">
        <v>4.76</v>
      </c>
      <c r="I504" s="8">
        <v>33943</v>
      </c>
      <c r="J50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5" spans="1:10" x14ac:dyDescent="0.3">
      <c r="A505" s="10">
        <v>9427</v>
      </c>
      <c r="B505" s="10" t="s">
        <v>589</v>
      </c>
      <c r="C505" s="10" t="str">
        <f t="shared" si="7"/>
        <v>94</v>
      </c>
      <c r="D505" s="12" t="s">
        <v>75</v>
      </c>
      <c r="E505" s="12">
        <v>36.96</v>
      </c>
      <c r="F505" s="12">
        <v>62.3</v>
      </c>
      <c r="G505" s="12">
        <v>46379000</v>
      </c>
      <c r="H505" s="12">
        <v>4.12</v>
      </c>
      <c r="I505" s="8">
        <v>22547</v>
      </c>
      <c r="J50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6" spans="1:10" x14ac:dyDescent="0.3">
      <c r="A506" s="10">
        <v>9428</v>
      </c>
      <c r="B506" s="10" t="s">
        <v>590</v>
      </c>
      <c r="C506" s="10" t="str">
        <f t="shared" si="7"/>
        <v>94</v>
      </c>
      <c r="D506" s="12" t="s">
        <v>75</v>
      </c>
      <c r="E506" s="12">
        <v>34.74</v>
      </c>
      <c r="F506" s="12">
        <v>51.78</v>
      </c>
      <c r="G506" s="12">
        <v>47377000</v>
      </c>
      <c r="H506" s="12">
        <v>2.5499999999999998</v>
      </c>
      <c r="I506" s="8">
        <v>36483</v>
      </c>
      <c r="J506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7" spans="1:10" x14ac:dyDescent="0.3">
      <c r="A507" s="10">
        <v>9429</v>
      </c>
      <c r="B507" s="10" t="s">
        <v>604</v>
      </c>
      <c r="C507" s="10" t="str">
        <f t="shared" si="7"/>
        <v>94</v>
      </c>
      <c r="D507" s="12" t="s">
        <v>75</v>
      </c>
      <c r="E507" s="12">
        <v>36.72</v>
      </c>
      <c r="F507" s="12">
        <v>31.55</v>
      </c>
      <c r="G507" s="12">
        <v>11959000</v>
      </c>
      <c r="H507" s="12">
        <v>0.93</v>
      </c>
      <c r="I507" s="8">
        <v>106533</v>
      </c>
      <c r="J507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8" spans="1:10" x14ac:dyDescent="0.3">
      <c r="A508" s="10">
        <v>9430</v>
      </c>
      <c r="B508" s="10" t="s">
        <v>606</v>
      </c>
      <c r="C508" s="10" t="str">
        <f t="shared" si="7"/>
        <v>94</v>
      </c>
      <c r="D508" s="12" t="s">
        <v>75</v>
      </c>
      <c r="E508" s="12">
        <v>37.22</v>
      </c>
      <c r="F508" s="12">
        <v>47.86</v>
      </c>
      <c r="G508" s="12">
        <v>9854000</v>
      </c>
      <c r="H508" s="12">
        <v>0.9</v>
      </c>
      <c r="I508" s="8">
        <v>196399</v>
      </c>
      <c r="J508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9" spans="1:10" x14ac:dyDescent="0.3">
      <c r="A509" s="10">
        <v>9431</v>
      </c>
      <c r="B509" s="10" t="s">
        <v>608</v>
      </c>
      <c r="C509" s="10" t="str">
        <f t="shared" si="7"/>
        <v>94</v>
      </c>
      <c r="D509" s="12" t="s">
        <v>75</v>
      </c>
      <c r="E509" s="12">
        <v>38.130000000000003</v>
      </c>
      <c r="F509" s="12">
        <v>47.57</v>
      </c>
      <c r="G509" s="12">
        <v>23990000</v>
      </c>
      <c r="H509" s="12">
        <v>0.8</v>
      </c>
      <c r="I509" s="8">
        <v>50685</v>
      </c>
      <c r="J509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0" spans="1:10" x14ac:dyDescent="0.3">
      <c r="A510" s="10">
        <v>9432</v>
      </c>
      <c r="B510" s="10" t="s">
        <v>609</v>
      </c>
      <c r="C510" s="10" t="str">
        <f t="shared" si="7"/>
        <v>94</v>
      </c>
      <c r="D510" s="12" t="s">
        <v>75</v>
      </c>
      <c r="E510" s="12">
        <v>32.04</v>
      </c>
      <c r="F510" s="12">
        <v>48.34</v>
      </c>
      <c r="G510" s="12">
        <v>12633000</v>
      </c>
      <c r="H510" s="12">
        <v>0.86</v>
      </c>
      <c r="I510" s="8">
        <v>101973</v>
      </c>
      <c r="J510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1" spans="1:10" x14ac:dyDescent="0.3">
      <c r="A511" s="10">
        <v>9433</v>
      </c>
      <c r="B511" s="10" t="s">
        <v>602</v>
      </c>
      <c r="C511" s="10" t="str">
        <f t="shared" si="7"/>
        <v>94</v>
      </c>
      <c r="D511" s="12" t="s">
        <v>75</v>
      </c>
      <c r="E511" s="12">
        <v>36.409999999999997</v>
      </c>
      <c r="F511" s="12">
        <v>43.04</v>
      </c>
      <c r="G511" s="12">
        <v>12545000</v>
      </c>
      <c r="H511" s="12">
        <v>0.56000000000000005</v>
      </c>
      <c r="I511" s="8">
        <v>114741</v>
      </c>
      <c r="J511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2" spans="1:10" x14ac:dyDescent="0.3">
      <c r="A512" s="10">
        <v>9434</v>
      </c>
      <c r="B512" s="10" t="s">
        <v>597</v>
      </c>
      <c r="C512" s="10" t="str">
        <f t="shared" si="7"/>
        <v>94</v>
      </c>
      <c r="D512" s="12" t="s">
        <v>75</v>
      </c>
      <c r="E512" s="12">
        <v>32.82</v>
      </c>
      <c r="F512" s="12">
        <v>54.84</v>
      </c>
      <c r="G512" s="12">
        <v>11707000</v>
      </c>
      <c r="H512" s="12">
        <v>0.21</v>
      </c>
      <c r="I512" s="8">
        <v>116206</v>
      </c>
      <c r="J512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3" spans="1:10" x14ac:dyDescent="0.3">
      <c r="A513" s="10">
        <v>9435</v>
      </c>
      <c r="B513" s="10" t="s">
        <v>601</v>
      </c>
      <c r="C513" s="10" t="str">
        <f t="shared" si="7"/>
        <v>94</v>
      </c>
      <c r="D513" s="12" t="s">
        <v>75</v>
      </c>
      <c r="E513" s="12">
        <v>37.340000000000003</v>
      </c>
      <c r="F513" s="12">
        <v>47.79</v>
      </c>
      <c r="G513" s="12">
        <v>9460000</v>
      </c>
      <c r="H513" s="12">
        <v>1.22</v>
      </c>
      <c r="I513" s="8">
        <v>135043</v>
      </c>
      <c r="J513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4" spans="1:10" x14ac:dyDescent="0.3">
      <c r="A514" s="10">
        <v>9436</v>
      </c>
      <c r="B514" s="10" t="s">
        <v>598</v>
      </c>
      <c r="C514" s="10" t="str">
        <f t="shared" si="7"/>
        <v>94</v>
      </c>
      <c r="D514" s="12" t="s">
        <v>75</v>
      </c>
      <c r="E514" s="12">
        <v>30.15</v>
      </c>
      <c r="F514" s="12">
        <v>49.46</v>
      </c>
      <c r="G514" s="12">
        <v>14540000</v>
      </c>
      <c r="H514" s="12">
        <v>0.41</v>
      </c>
      <c r="I514" s="8">
        <v>99091</v>
      </c>
      <c r="J514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5" spans="1:10" x14ac:dyDescent="0.3">
      <c r="A515" s="10">
        <v>9471</v>
      </c>
      <c r="B515" s="10" t="s">
        <v>591</v>
      </c>
      <c r="C515" s="10" t="str">
        <f t="shared" si="7"/>
        <v>94</v>
      </c>
      <c r="D515" s="12" t="s">
        <v>75</v>
      </c>
      <c r="E515" s="12">
        <v>11.16</v>
      </c>
      <c r="F515" s="12">
        <v>79.94</v>
      </c>
      <c r="G515" s="12">
        <v>80638000</v>
      </c>
      <c r="H515" s="12">
        <v>11.62</v>
      </c>
      <c r="I515" s="8">
        <v>398478</v>
      </c>
      <c r="J515" s="10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</sheetData>
  <phoneticPr fontId="10" type="noConversion"/>
  <pageMargins left="0.75" right="0.75" top="1" bottom="1" header="0.5" footer="0.5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3"/>
  <sheetViews>
    <sheetView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14" customWidth="1"/>
    <col min="2" max="2" width="28" customWidth="1"/>
    <col min="3" max="3" width="15" customWidth="1"/>
    <col min="4" max="4" width="28" customWidth="1"/>
    <col min="5" max="5" width="18" customWidth="1"/>
    <col min="6" max="6" width="14" customWidth="1"/>
  </cols>
  <sheetData>
    <row r="1" spans="1:6" x14ac:dyDescent="0.3">
      <c r="A1" s="24" t="s">
        <v>714</v>
      </c>
      <c r="B1" s="25" t="s">
        <v>713</v>
      </c>
      <c r="C1" s="25" t="s">
        <v>712</v>
      </c>
      <c r="D1" s="25" t="s">
        <v>711</v>
      </c>
      <c r="E1" s="9" t="s">
        <v>716</v>
      </c>
      <c r="F1" s="9" t="s">
        <v>717</v>
      </c>
    </row>
    <row r="2" spans="1:6" x14ac:dyDescent="0.3">
      <c r="A2" s="15" t="s">
        <v>637</v>
      </c>
      <c r="B2" s="14" t="s">
        <v>254</v>
      </c>
      <c r="C2" s="14">
        <v>3172</v>
      </c>
      <c r="D2" s="14" t="s">
        <v>255</v>
      </c>
      <c r="E2" s="16">
        <v>32504</v>
      </c>
      <c r="F2" s="16" t="str">
        <f>METADATA_SOURCES!$A$12</f>
        <v>SRC011</v>
      </c>
    </row>
    <row r="3" spans="1:6" x14ac:dyDescent="0.3">
      <c r="A3" s="15" t="s">
        <v>637</v>
      </c>
      <c r="B3" s="14" t="s">
        <v>254</v>
      </c>
      <c r="C3" s="14">
        <v>3173</v>
      </c>
      <c r="D3" s="14" t="s">
        <v>256</v>
      </c>
      <c r="E3" s="16">
        <v>71478</v>
      </c>
      <c r="F3" s="16" t="str">
        <f>METADATA_SOURCES!$A$12</f>
        <v>SRC011</v>
      </c>
    </row>
    <row r="4" spans="1:6" x14ac:dyDescent="0.3">
      <c r="A4" s="15" t="s">
        <v>637</v>
      </c>
      <c r="B4" s="14" t="s">
        <v>254</v>
      </c>
      <c r="C4" s="14">
        <v>3174</v>
      </c>
      <c r="D4" s="14" t="s">
        <v>257</v>
      </c>
      <c r="E4" s="16">
        <v>39804</v>
      </c>
      <c r="F4" s="16" t="str">
        <f>METADATA_SOURCES!$A$12</f>
        <v>SRC011</v>
      </c>
    </row>
    <row r="5" spans="1:6" x14ac:dyDescent="0.3">
      <c r="A5" s="15" t="s">
        <v>637</v>
      </c>
      <c r="B5" s="14" t="s">
        <v>254</v>
      </c>
      <c r="C5" s="14">
        <v>3175</v>
      </c>
      <c r="D5" s="14" t="s">
        <v>258</v>
      </c>
      <c r="E5" s="16">
        <v>10465</v>
      </c>
      <c r="F5" s="16" t="str">
        <f>METADATA_SOURCES!$A$12</f>
        <v>SRC011</v>
      </c>
    </row>
    <row r="6" spans="1:6" x14ac:dyDescent="0.3">
      <c r="A6" s="15" t="s">
        <v>637</v>
      </c>
      <c r="B6" s="14" t="s">
        <v>254</v>
      </c>
      <c r="C6" s="14">
        <v>3201</v>
      </c>
      <c r="D6" s="14" t="s">
        <v>259</v>
      </c>
      <c r="E6" s="16">
        <v>2862</v>
      </c>
      <c r="F6" s="16" t="str">
        <f>METADATA_SOURCES!$A$12</f>
        <v>SRC011</v>
      </c>
    </row>
    <row r="7" spans="1:6" x14ac:dyDescent="0.3">
      <c r="A7" s="15" t="s">
        <v>637</v>
      </c>
      <c r="B7" s="14" t="s">
        <v>254</v>
      </c>
      <c r="C7" s="14">
        <v>3216</v>
      </c>
      <c r="D7" s="14" t="s">
        <v>274</v>
      </c>
      <c r="E7" s="16">
        <v>3371</v>
      </c>
      <c r="F7" s="16" t="str">
        <f>METADATA_SOURCES!$A$12</f>
        <v>SRC011</v>
      </c>
    </row>
    <row r="8" spans="1:6" x14ac:dyDescent="0.3">
      <c r="A8" s="15" t="s">
        <v>637</v>
      </c>
      <c r="B8" s="14" t="s">
        <v>254</v>
      </c>
      <c r="C8" s="14">
        <v>3271</v>
      </c>
      <c r="D8" s="14" t="s">
        <v>277</v>
      </c>
      <c r="E8" s="16">
        <v>717</v>
      </c>
      <c r="F8" s="16" t="str">
        <f>METADATA_SOURCES!$A$12</f>
        <v>SRC011</v>
      </c>
    </row>
    <row r="9" spans="1:6" x14ac:dyDescent="0.3">
      <c r="A9" s="15" t="s">
        <v>637</v>
      </c>
      <c r="B9" s="14" t="s">
        <v>254</v>
      </c>
      <c r="C9" s="14">
        <v>3275</v>
      </c>
      <c r="D9" s="14" t="s">
        <v>281</v>
      </c>
      <c r="E9" s="16">
        <v>4599</v>
      </c>
      <c r="F9" s="16" t="str">
        <f>METADATA_SOURCES!$A$12</f>
        <v>SRC011</v>
      </c>
    </row>
    <row r="10" spans="1:6" x14ac:dyDescent="0.3">
      <c r="A10" s="15" t="s">
        <v>637</v>
      </c>
      <c r="B10" s="14" t="s">
        <v>254</v>
      </c>
      <c r="C10" s="14">
        <v>3276</v>
      </c>
      <c r="D10" s="14" t="s">
        <v>282</v>
      </c>
      <c r="E10" s="16">
        <v>24825</v>
      </c>
      <c r="F10" s="16" t="str">
        <f>METADATA_SOURCES!$A$12</f>
        <v>SRC011</v>
      </c>
    </row>
    <row r="11" spans="1:6" x14ac:dyDescent="0.3">
      <c r="A11" s="15" t="s">
        <v>637</v>
      </c>
      <c r="B11" s="14" t="s">
        <v>254</v>
      </c>
      <c r="C11" s="14">
        <v>3603</v>
      </c>
      <c r="D11" s="14" t="s">
        <v>366</v>
      </c>
      <c r="E11" s="16">
        <v>4432</v>
      </c>
      <c r="F11" s="16" t="str">
        <f>METADATA_SOURCES!$A$12</f>
        <v>SRC011</v>
      </c>
    </row>
    <row r="12" spans="1:6" x14ac:dyDescent="0.3">
      <c r="A12" s="15" t="s">
        <v>637</v>
      </c>
      <c r="B12" s="14" t="s">
        <v>254</v>
      </c>
      <c r="C12" s="14">
        <v>3671</v>
      </c>
      <c r="D12" s="14" t="s">
        <v>368</v>
      </c>
      <c r="E12" s="16">
        <v>5638</v>
      </c>
      <c r="F12" s="16" t="str">
        <f>METADATA_SOURCES!$A$12</f>
        <v>SRC011</v>
      </c>
    </row>
    <row r="13" spans="1:6" x14ac:dyDescent="0.3">
      <c r="A13" s="15" t="s">
        <v>637</v>
      </c>
      <c r="B13" s="14" t="s">
        <v>254</v>
      </c>
      <c r="C13" s="14">
        <v>3674</v>
      </c>
      <c r="D13" s="14" t="s">
        <v>371</v>
      </c>
      <c r="E13" s="16">
        <v>28057</v>
      </c>
      <c r="F13" s="16" t="str">
        <f>METADATA_SOURCES!$A$12</f>
        <v>SRC011</v>
      </c>
    </row>
    <row r="14" spans="1:6" x14ac:dyDescent="0.3">
      <c r="A14" s="15" t="s">
        <v>638</v>
      </c>
      <c r="B14" s="14" t="s">
        <v>255</v>
      </c>
      <c r="C14" s="14">
        <v>3171</v>
      </c>
      <c r="D14" s="14" t="s">
        <v>254</v>
      </c>
      <c r="E14" s="16">
        <v>96092</v>
      </c>
      <c r="F14" s="16" t="str">
        <f>METADATA_SOURCES!$A$12</f>
        <v>SRC011</v>
      </c>
    </row>
    <row r="15" spans="1:6" x14ac:dyDescent="0.3">
      <c r="A15" s="15" t="s">
        <v>638</v>
      </c>
      <c r="B15" s="14" t="s">
        <v>255</v>
      </c>
      <c r="C15" s="14">
        <v>3173</v>
      </c>
      <c r="D15" s="14" t="s">
        <v>256</v>
      </c>
      <c r="E15" s="16">
        <v>88596</v>
      </c>
      <c r="F15" s="16" t="str">
        <f>METADATA_SOURCES!$A$12</f>
        <v>SRC011</v>
      </c>
    </row>
    <row r="16" spans="1:6" x14ac:dyDescent="0.3">
      <c r="A16" s="15" t="s">
        <v>638</v>
      </c>
      <c r="B16" s="14" t="s">
        <v>255</v>
      </c>
      <c r="C16" s="14">
        <v>3174</v>
      </c>
      <c r="D16" s="14" t="s">
        <v>257</v>
      </c>
      <c r="E16" s="16">
        <v>28474</v>
      </c>
      <c r="F16" s="16" t="str">
        <f>METADATA_SOURCES!$A$12</f>
        <v>SRC011</v>
      </c>
    </row>
    <row r="17" spans="1:6" x14ac:dyDescent="0.3">
      <c r="A17" s="15" t="s">
        <v>638</v>
      </c>
      <c r="B17" s="14" t="s">
        <v>255</v>
      </c>
      <c r="C17" s="14">
        <v>3175</v>
      </c>
      <c r="D17" s="14" t="s">
        <v>258</v>
      </c>
      <c r="E17" s="16">
        <v>39712</v>
      </c>
      <c r="F17" s="16" t="str">
        <f>METADATA_SOURCES!$A$12</f>
        <v>SRC011</v>
      </c>
    </row>
    <row r="18" spans="1:6" x14ac:dyDescent="0.3">
      <c r="A18" s="15" t="s">
        <v>638</v>
      </c>
      <c r="B18" s="14" t="s">
        <v>255</v>
      </c>
      <c r="C18" s="14">
        <v>3201</v>
      </c>
      <c r="D18" s="14" t="s">
        <v>259</v>
      </c>
      <c r="E18" s="16">
        <v>6683</v>
      </c>
      <c r="F18" s="16" t="str">
        <f>METADATA_SOURCES!$A$12</f>
        <v>SRC011</v>
      </c>
    </row>
    <row r="19" spans="1:6" x14ac:dyDescent="0.3">
      <c r="A19" s="15" t="s">
        <v>638</v>
      </c>
      <c r="B19" s="14" t="s">
        <v>255</v>
      </c>
      <c r="C19" s="14">
        <v>3216</v>
      </c>
      <c r="D19" s="14" t="s">
        <v>274</v>
      </c>
      <c r="E19" s="16">
        <v>17548</v>
      </c>
      <c r="F19" s="16" t="str">
        <f>METADATA_SOURCES!$A$12</f>
        <v>SRC011</v>
      </c>
    </row>
    <row r="20" spans="1:6" x14ac:dyDescent="0.3">
      <c r="A20" s="15" t="s">
        <v>638</v>
      </c>
      <c r="B20" s="14" t="s">
        <v>255</v>
      </c>
      <c r="C20" s="14">
        <v>3271</v>
      </c>
      <c r="D20" s="14" t="s">
        <v>277</v>
      </c>
      <c r="E20" s="16">
        <v>3577</v>
      </c>
      <c r="F20" s="16" t="str">
        <f>METADATA_SOURCES!$A$12</f>
        <v>SRC011</v>
      </c>
    </row>
    <row r="21" spans="1:6" x14ac:dyDescent="0.3">
      <c r="A21" s="15" t="s">
        <v>638</v>
      </c>
      <c r="B21" s="14" t="s">
        <v>255</v>
      </c>
      <c r="C21" s="14">
        <v>3275</v>
      </c>
      <c r="D21" s="14" t="s">
        <v>281</v>
      </c>
      <c r="E21" s="16">
        <v>28591</v>
      </c>
      <c r="F21" s="16" t="str">
        <f>METADATA_SOURCES!$A$12</f>
        <v>SRC011</v>
      </c>
    </row>
    <row r="22" spans="1:6" x14ac:dyDescent="0.3">
      <c r="A22" s="15" t="s">
        <v>638</v>
      </c>
      <c r="B22" s="14" t="s">
        <v>255</v>
      </c>
      <c r="C22" s="14">
        <v>3276</v>
      </c>
      <c r="D22" s="14" t="s">
        <v>282</v>
      </c>
      <c r="E22" s="16">
        <v>19610</v>
      </c>
      <c r="F22" s="16" t="str">
        <f>METADATA_SOURCES!$A$12</f>
        <v>SRC011</v>
      </c>
    </row>
    <row r="23" spans="1:6" x14ac:dyDescent="0.3">
      <c r="A23" s="15" t="s">
        <v>638</v>
      </c>
      <c r="B23" s="14" t="s">
        <v>255</v>
      </c>
      <c r="C23" s="14">
        <v>3603</v>
      </c>
      <c r="D23" s="14" t="s">
        <v>366</v>
      </c>
      <c r="E23" s="16">
        <v>2850</v>
      </c>
      <c r="F23" s="16" t="str">
        <f>METADATA_SOURCES!$A$12</f>
        <v>SRC011</v>
      </c>
    </row>
    <row r="24" spans="1:6" x14ac:dyDescent="0.3">
      <c r="A24" s="15" t="s">
        <v>638</v>
      </c>
      <c r="B24" s="14" t="s">
        <v>255</v>
      </c>
      <c r="C24" s="14">
        <v>3671</v>
      </c>
      <c r="D24" s="14" t="s">
        <v>368</v>
      </c>
      <c r="E24" s="16">
        <v>4824</v>
      </c>
      <c r="F24" s="16" t="str">
        <f>METADATA_SOURCES!$A$12</f>
        <v>SRC011</v>
      </c>
    </row>
    <row r="25" spans="1:6" x14ac:dyDescent="0.3">
      <c r="A25" s="15" t="s">
        <v>638</v>
      </c>
      <c r="B25" s="14" t="s">
        <v>255</v>
      </c>
      <c r="C25" s="14">
        <v>3674</v>
      </c>
      <c r="D25" s="14" t="s">
        <v>371</v>
      </c>
      <c r="E25" s="16">
        <v>2752</v>
      </c>
      <c r="F25" s="16" t="str">
        <f>METADATA_SOURCES!$A$12</f>
        <v>SRC011</v>
      </c>
    </row>
    <row r="26" spans="1:6" x14ac:dyDescent="0.3">
      <c r="A26" s="15" t="s">
        <v>639</v>
      </c>
      <c r="B26" s="14" t="s">
        <v>256</v>
      </c>
      <c r="C26" s="14">
        <v>3171</v>
      </c>
      <c r="D26" s="14" t="s">
        <v>254</v>
      </c>
      <c r="E26" s="16">
        <v>25589</v>
      </c>
      <c r="F26" s="16" t="str">
        <f>METADATA_SOURCES!$A$12</f>
        <v>SRC011</v>
      </c>
    </row>
    <row r="27" spans="1:6" x14ac:dyDescent="0.3">
      <c r="A27" s="15" t="s">
        <v>639</v>
      </c>
      <c r="B27" s="14" t="s">
        <v>256</v>
      </c>
      <c r="C27" s="14">
        <v>3172</v>
      </c>
      <c r="D27" s="14" t="s">
        <v>255</v>
      </c>
      <c r="E27" s="16">
        <v>19034</v>
      </c>
      <c r="F27" s="16" t="str">
        <f>METADATA_SOURCES!$A$12</f>
        <v>SRC011</v>
      </c>
    </row>
    <row r="28" spans="1:6" x14ac:dyDescent="0.3">
      <c r="A28" s="15" t="s">
        <v>639</v>
      </c>
      <c r="B28" s="14" t="s">
        <v>256</v>
      </c>
      <c r="C28" s="14">
        <v>3174</v>
      </c>
      <c r="D28" s="14" t="s">
        <v>257</v>
      </c>
      <c r="E28" s="16">
        <v>20771</v>
      </c>
      <c r="F28" s="16" t="str">
        <f>METADATA_SOURCES!$A$12</f>
        <v>SRC011</v>
      </c>
    </row>
    <row r="29" spans="1:6" x14ac:dyDescent="0.3">
      <c r="A29" s="15" t="s">
        <v>639</v>
      </c>
      <c r="B29" s="14" t="s">
        <v>256</v>
      </c>
      <c r="C29" s="14">
        <v>3175</v>
      </c>
      <c r="D29" s="14" t="s">
        <v>258</v>
      </c>
      <c r="E29" s="16">
        <v>27155</v>
      </c>
      <c r="F29" s="16" t="str">
        <f>METADATA_SOURCES!$A$12</f>
        <v>SRC011</v>
      </c>
    </row>
    <row r="30" spans="1:6" x14ac:dyDescent="0.3">
      <c r="A30" s="15" t="s">
        <v>639</v>
      </c>
      <c r="B30" s="14" t="s">
        <v>256</v>
      </c>
      <c r="C30" s="14">
        <v>3201</v>
      </c>
      <c r="D30" s="14" t="s">
        <v>259</v>
      </c>
      <c r="E30" s="16">
        <v>308</v>
      </c>
      <c r="F30" s="16" t="str">
        <f>METADATA_SOURCES!$A$12</f>
        <v>SRC011</v>
      </c>
    </row>
    <row r="31" spans="1:6" x14ac:dyDescent="0.3">
      <c r="A31" s="15" t="s">
        <v>639</v>
      </c>
      <c r="B31" s="14" t="s">
        <v>256</v>
      </c>
      <c r="C31" s="14">
        <v>3216</v>
      </c>
      <c r="D31" s="14" t="s">
        <v>274</v>
      </c>
      <c r="E31" s="16">
        <v>1760</v>
      </c>
      <c r="F31" s="16" t="str">
        <f>METADATA_SOURCES!$A$12</f>
        <v>SRC011</v>
      </c>
    </row>
    <row r="32" spans="1:6" x14ac:dyDescent="0.3">
      <c r="A32" s="15" t="s">
        <v>639</v>
      </c>
      <c r="B32" s="14" t="s">
        <v>256</v>
      </c>
      <c r="C32" s="14">
        <v>3275</v>
      </c>
      <c r="D32" s="14" t="s">
        <v>281</v>
      </c>
      <c r="E32" s="16">
        <v>684</v>
      </c>
      <c r="F32" s="16" t="str">
        <f>METADATA_SOURCES!$A$12</f>
        <v>SRC011</v>
      </c>
    </row>
    <row r="33" spans="1:6" x14ac:dyDescent="0.3">
      <c r="A33" s="15" t="s">
        <v>639</v>
      </c>
      <c r="B33" s="14" t="s">
        <v>256</v>
      </c>
      <c r="C33" s="14">
        <v>3276</v>
      </c>
      <c r="D33" s="14" t="s">
        <v>282</v>
      </c>
      <c r="E33" s="16">
        <v>1334</v>
      </c>
      <c r="F33" s="16" t="str">
        <f>METADATA_SOURCES!$A$12</f>
        <v>SRC011</v>
      </c>
    </row>
    <row r="34" spans="1:6" x14ac:dyDescent="0.3">
      <c r="A34" s="15" t="s">
        <v>639</v>
      </c>
      <c r="B34" s="14" t="s">
        <v>256</v>
      </c>
      <c r="C34" s="14">
        <v>3603</v>
      </c>
      <c r="D34" s="14" t="s">
        <v>366</v>
      </c>
      <c r="E34" s="16">
        <v>576</v>
      </c>
      <c r="F34" s="16" t="str">
        <f>METADATA_SOURCES!$A$12</f>
        <v>SRC011</v>
      </c>
    </row>
    <row r="35" spans="1:6" x14ac:dyDescent="0.3">
      <c r="A35" s="15" t="s">
        <v>639</v>
      </c>
      <c r="B35" s="14" t="s">
        <v>256</v>
      </c>
      <c r="C35" s="14">
        <v>3671</v>
      </c>
      <c r="D35" s="14" t="s">
        <v>368</v>
      </c>
      <c r="E35" s="16">
        <v>1916</v>
      </c>
      <c r="F35" s="16" t="str">
        <f>METADATA_SOURCES!$A$12</f>
        <v>SRC011</v>
      </c>
    </row>
    <row r="36" spans="1:6" x14ac:dyDescent="0.3">
      <c r="A36" s="15" t="s">
        <v>639</v>
      </c>
      <c r="B36" s="14" t="s">
        <v>256</v>
      </c>
      <c r="C36" s="14">
        <v>3674</v>
      </c>
      <c r="D36" s="14" t="s">
        <v>371</v>
      </c>
      <c r="E36" s="16">
        <v>1257</v>
      </c>
      <c r="F36" s="16" t="str">
        <f>METADATA_SOURCES!$A$12</f>
        <v>SRC011</v>
      </c>
    </row>
    <row r="37" spans="1:6" x14ac:dyDescent="0.3">
      <c r="A37" s="15" t="s">
        <v>640</v>
      </c>
      <c r="B37" s="14" t="s">
        <v>257</v>
      </c>
      <c r="C37" s="14">
        <v>3171</v>
      </c>
      <c r="D37" s="14" t="s">
        <v>254</v>
      </c>
      <c r="E37" s="16">
        <v>68470</v>
      </c>
      <c r="F37" s="16" t="str">
        <f>METADATA_SOURCES!$A$12</f>
        <v>SRC011</v>
      </c>
    </row>
    <row r="38" spans="1:6" x14ac:dyDescent="0.3">
      <c r="A38" s="15" t="s">
        <v>640</v>
      </c>
      <c r="B38" s="14" t="s">
        <v>257</v>
      </c>
      <c r="C38" s="14">
        <v>3172</v>
      </c>
      <c r="D38" s="14" t="s">
        <v>255</v>
      </c>
      <c r="E38" s="16">
        <v>9959</v>
      </c>
      <c r="F38" s="16" t="str">
        <f>METADATA_SOURCES!$A$12</f>
        <v>SRC011</v>
      </c>
    </row>
    <row r="39" spans="1:6" x14ac:dyDescent="0.3">
      <c r="A39" s="15" t="s">
        <v>640</v>
      </c>
      <c r="B39" s="14" t="s">
        <v>257</v>
      </c>
      <c r="C39" s="14">
        <v>3173</v>
      </c>
      <c r="D39" s="14" t="s">
        <v>256</v>
      </c>
      <c r="E39" s="16">
        <v>71350</v>
      </c>
      <c r="F39" s="16" t="str">
        <f>METADATA_SOURCES!$A$12</f>
        <v>SRC011</v>
      </c>
    </row>
    <row r="40" spans="1:6" x14ac:dyDescent="0.3">
      <c r="A40" s="15" t="s">
        <v>640</v>
      </c>
      <c r="B40" s="14" t="s">
        <v>257</v>
      </c>
      <c r="C40" s="14">
        <v>3175</v>
      </c>
      <c r="D40" s="14" t="s">
        <v>258</v>
      </c>
      <c r="E40" s="16">
        <v>68579</v>
      </c>
      <c r="F40" s="16" t="str">
        <f>METADATA_SOURCES!$A$12</f>
        <v>SRC011</v>
      </c>
    </row>
    <row r="41" spans="1:6" x14ac:dyDescent="0.3">
      <c r="A41" s="15" t="s">
        <v>640</v>
      </c>
      <c r="B41" s="14" t="s">
        <v>257</v>
      </c>
      <c r="C41" s="14">
        <v>3216</v>
      </c>
      <c r="D41" s="14" t="s">
        <v>274</v>
      </c>
      <c r="E41" s="16">
        <v>1535</v>
      </c>
      <c r="F41" s="16" t="str">
        <f>METADATA_SOURCES!$A$12</f>
        <v>SRC011</v>
      </c>
    </row>
    <row r="42" spans="1:6" x14ac:dyDescent="0.3">
      <c r="A42" s="15" t="s">
        <v>640</v>
      </c>
      <c r="B42" s="14" t="s">
        <v>257</v>
      </c>
      <c r="C42" s="14">
        <v>3271</v>
      </c>
      <c r="D42" s="14" t="s">
        <v>277</v>
      </c>
      <c r="E42" s="16">
        <v>605</v>
      </c>
      <c r="F42" s="16" t="str">
        <f>METADATA_SOURCES!$A$12</f>
        <v>SRC011</v>
      </c>
    </row>
    <row r="43" spans="1:6" x14ac:dyDescent="0.3">
      <c r="A43" s="15" t="s">
        <v>640</v>
      </c>
      <c r="B43" s="14" t="s">
        <v>257</v>
      </c>
      <c r="C43" s="14">
        <v>3275</v>
      </c>
      <c r="D43" s="14" t="s">
        <v>281</v>
      </c>
      <c r="E43" s="16">
        <v>706</v>
      </c>
      <c r="F43" s="16" t="str">
        <f>METADATA_SOURCES!$A$12</f>
        <v>SRC011</v>
      </c>
    </row>
    <row r="44" spans="1:6" x14ac:dyDescent="0.3">
      <c r="A44" s="15" t="s">
        <v>640</v>
      </c>
      <c r="B44" s="14" t="s">
        <v>257</v>
      </c>
      <c r="C44" s="14">
        <v>3276</v>
      </c>
      <c r="D44" s="14" t="s">
        <v>282</v>
      </c>
      <c r="E44" s="16">
        <v>4492</v>
      </c>
      <c r="F44" s="16" t="str">
        <f>METADATA_SOURCES!$A$12</f>
        <v>SRC011</v>
      </c>
    </row>
    <row r="45" spans="1:6" x14ac:dyDescent="0.3">
      <c r="A45" s="15" t="s">
        <v>640</v>
      </c>
      <c r="B45" s="14" t="s">
        <v>257</v>
      </c>
      <c r="C45" s="14">
        <v>3603</v>
      </c>
      <c r="D45" s="14" t="s">
        <v>366</v>
      </c>
      <c r="E45" s="16">
        <v>12003</v>
      </c>
      <c r="F45" s="16" t="str">
        <f>METADATA_SOURCES!$A$12</f>
        <v>SRC011</v>
      </c>
    </row>
    <row r="46" spans="1:6" x14ac:dyDescent="0.3">
      <c r="A46" s="15" t="s">
        <v>640</v>
      </c>
      <c r="B46" s="14" t="s">
        <v>257</v>
      </c>
      <c r="C46" s="14">
        <v>3671</v>
      </c>
      <c r="D46" s="14" t="s">
        <v>368</v>
      </c>
      <c r="E46" s="16">
        <v>41164</v>
      </c>
      <c r="F46" s="16" t="str">
        <f>METADATA_SOURCES!$A$12</f>
        <v>SRC011</v>
      </c>
    </row>
    <row r="47" spans="1:6" x14ac:dyDescent="0.3">
      <c r="A47" s="15" t="s">
        <v>640</v>
      </c>
      <c r="B47" s="14" t="s">
        <v>257</v>
      </c>
      <c r="C47" s="14">
        <v>3674</v>
      </c>
      <c r="D47" s="14" t="s">
        <v>371</v>
      </c>
      <c r="E47" s="16">
        <v>4206</v>
      </c>
      <c r="F47" s="16" t="str">
        <f>METADATA_SOURCES!$A$12</f>
        <v>SRC011</v>
      </c>
    </row>
    <row r="48" spans="1:6" x14ac:dyDescent="0.3">
      <c r="A48" s="15" t="s">
        <v>641</v>
      </c>
      <c r="B48" s="14" t="s">
        <v>258</v>
      </c>
      <c r="C48" s="14">
        <v>3171</v>
      </c>
      <c r="D48" s="14" t="s">
        <v>254</v>
      </c>
      <c r="E48" s="16">
        <v>17489</v>
      </c>
      <c r="F48" s="16" t="str">
        <f>METADATA_SOURCES!$A$12</f>
        <v>SRC011</v>
      </c>
    </row>
    <row r="49" spans="1:6" x14ac:dyDescent="0.3">
      <c r="A49" s="15" t="s">
        <v>641</v>
      </c>
      <c r="B49" s="14" t="s">
        <v>258</v>
      </c>
      <c r="C49" s="14">
        <v>3172</v>
      </c>
      <c r="D49" s="14" t="s">
        <v>255</v>
      </c>
      <c r="E49" s="16">
        <v>30605</v>
      </c>
      <c r="F49" s="16" t="str">
        <f>METADATA_SOURCES!$A$12</f>
        <v>SRC011</v>
      </c>
    </row>
    <row r="50" spans="1:6" x14ac:dyDescent="0.3">
      <c r="A50" s="15" t="s">
        <v>641</v>
      </c>
      <c r="B50" s="14" t="s">
        <v>258</v>
      </c>
      <c r="C50" s="14">
        <v>3173</v>
      </c>
      <c r="D50" s="14" t="s">
        <v>256</v>
      </c>
      <c r="E50" s="16">
        <v>50710</v>
      </c>
      <c r="F50" s="16" t="str">
        <f>METADATA_SOURCES!$A$12</f>
        <v>SRC011</v>
      </c>
    </row>
    <row r="51" spans="1:6" x14ac:dyDescent="0.3">
      <c r="A51" s="15" t="s">
        <v>641</v>
      </c>
      <c r="B51" s="14" t="s">
        <v>258</v>
      </c>
      <c r="C51" s="14">
        <v>3174</v>
      </c>
      <c r="D51" s="14" t="s">
        <v>257</v>
      </c>
      <c r="E51" s="16">
        <v>27280</v>
      </c>
      <c r="F51" s="16" t="str">
        <f>METADATA_SOURCES!$A$12</f>
        <v>SRC011</v>
      </c>
    </row>
    <row r="52" spans="1:6" x14ac:dyDescent="0.3">
      <c r="A52" s="15" t="s">
        <v>641</v>
      </c>
      <c r="B52" s="14" t="s">
        <v>258</v>
      </c>
      <c r="C52" s="14">
        <v>3201</v>
      </c>
      <c r="D52" s="14" t="s">
        <v>259</v>
      </c>
      <c r="E52" s="16">
        <v>522</v>
      </c>
      <c r="F52" s="16" t="str">
        <f>METADATA_SOURCES!$A$12</f>
        <v>SRC011</v>
      </c>
    </row>
    <row r="53" spans="1:6" x14ac:dyDescent="0.3">
      <c r="A53" s="15" t="s">
        <v>641</v>
      </c>
      <c r="B53" s="14" t="s">
        <v>258</v>
      </c>
      <c r="C53" s="14">
        <v>3216</v>
      </c>
      <c r="D53" s="14" t="s">
        <v>274</v>
      </c>
      <c r="E53" s="16">
        <v>4448</v>
      </c>
      <c r="F53" s="16" t="str">
        <f>METADATA_SOURCES!$A$12</f>
        <v>SRC011</v>
      </c>
    </row>
    <row r="54" spans="1:6" x14ac:dyDescent="0.3">
      <c r="A54" s="15" t="s">
        <v>641</v>
      </c>
      <c r="B54" s="14" t="s">
        <v>258</v>
      </c>
      <c r="C54" s="14">
        <v>3271</v>
      </c>
      <c r="D54" s="14" t="s">
        <v>277</v>
      </c>
      <c r="E54" s="16">
        <v>522</v>
      </c>
      <c r="F54" s="16" t="str">
        <f>METADATA_SOURCES!$A$12</f>
        <v>SRC011</v>
      </c>
    </row>
    <row r="55" spans="1:6" x14ac:dyDescent="0.3">
      <c r="A55" s="15" t="s">
        <v>641</v>
      </c>
      <c r="B55" s="14" t="s">
        <v>258</v>
      </c>
      <c r="C55" s="14">
        <v>3275</v>
      </c>
      <c r="D55" s="14" t="s">
        <v>281</v>
      </c>
      <c r="E55" s="16">
        <v>2610</v>
      </c>
      <c r="F55" s="16" t="str">
        <f>METADATA_SOURCES!$A$12</f>
        <v>SRC011</v>
      </c>
    </row>
    <row r="56" spans="1:6" x14ac:dyDescent="0.3">
      <c r="A56" s="15" t="s">
        <v>641</v>
      </c>
      <c r="B56" s="14" t="s">
        <v>258</v>
      </c>
      <c r="C56" s="14">
        <v>3276</v>
      </c>
      <c r="D56" s="14" t="s">
        <v>282</v>
      </c>
      <c r="E56" s="16">
        <v>522</v>
      </c>
      <c r="F56" s="16" t="str">
        <f>METADATA_SOURCES!$A$12</f>
        <v>SRC011</v>
      </c>
    </row>
    <row r="57" spans="1:6" x14ac:dyDescent="0.3">
      <c r="A57" s="15" t="s">
        <v>641</v>
      </c>
      <c r="B57" s="14" t="s">
        <v>258</v>
      </c>
      <c r="C57" s="14">
        <v>3603</v>
      </c>
      <c r="D57" s="14" t="s">
        <v>366</v>
      </c>
      <c r="E57" s="16">
        <v>522</v>
      </c>
      <c r="F57" s="16" t="str">
        <f>METADATA_SOURCES!$A$12</f>
        <v>SRC011</v>
      </c>
    </row>
    <row r="58" spans="1:6" x14ac:dyDescent="0.3">
      <c r="A58" s="15" t="s">
        <v>641</v>
      </c>
      <c r="B58" s="14" t="s">
        <v>258</v>
      </c>
      <c r="C58" s="14">
        <v>3671</v>
      </c>
      <c r="D58" s="14" t="s">
        <v>368</v>
      </c>
      <c r="E58" s="16">
        <v>1102</v>
      </c>
      <c r="F58" s="16" t="str">
        <f>METADATA_SOURCES!$A$12</f>
        <v>SRC011</v>
      </c>
    </row>
    <row r="59" spans="1:6" x14ac:dyDescent="0.3">
      <c r="A59" s="15" t="s">
        <v>641</v>
      </c>
      <c r="B59" s="14" t="s">
        <v>258</v>
      </c>
      <c r="C59" s="14">
        <v>3674</v>
      </c>
      <c r="D59" s="14" t="s">
        <v>371</v>
      </c>
      <c r="E59" s="16">
        <v>522</v>
      </c>
      <c r="F59" s="16" t="str">
        <f>METADATA_SOURCES!$A$12</f>
        <v>SRC011</v>
      </c>
    </row>
    <row r="60" spans="1:6" x14ac:dyDescent="0.3">
      <c r="A60" s="15" t="s">
        <v>642</v>
      </c>
      <c r="B60" s="14" t="s">
        <v>259</v>
      </c>
      <c r="C60" s="14">
        <v>3171</v>
      </c>
      <c r="D60" s="14" t="s">
        <v>254</v>
      </c>
      <c r="E60" s="16">
        <v>70674</v>
      </c>
      <c r="F60" s="16" t="str">
        <f>METADATA_SOURCES!$A$12</f>
        <v>SRC011</v>
      </c>
    </row>
    <row r="61" spans="1:6" x14ac:dyDescent="0.3">
      <c r="A61" s="15" t="s">
        <v>642</v>
      </c>
      <c r="B61" s="14" t="s">
        <v>259</v>
      </c>
      <c r="C61" s="14">
        <v>3172</v>
      </c>
      <c r="D61" s="14" t="s">
        <v>255</v>
      </c>
      <c r="E61" s="16">
        <v>16267</v>
      </c>
      <c r="F61" s="16" t="str">
        <f>METADATA_SOURCES!$A$12</f>
        <v>SRC011</v>
      </c>
    </row>
    <row r="62" spans="1:6" x14ac:dyDescent="0.3">
      <c r="A62" s="15" t="s">
        <v>642</v>
      </c>
      <c r="B62" s="14" t="s">
        <v>259</v>
      </c>
      <c r="C62" s="14">
        <v>3173</v>
      </c>
      <c r="D62" s="14" t="s">
        <v>256</v>
      </c>
      <c r="E62" s="16">
        <v>43478</v>
      </c>
      <c r="F62" s="16" t="str">
        <f>METADATA_SOURCES!$A$12</f>
        <v>SRC011</v>
      </c>
    </row>
    <row r="63" spans="1:6" x14ac:dyDescent="0.3">
      <c r="A63" s="15" t="s">
        <v>642</v>
      </c>
      <c r="B63" s="14" t="s">
        <v>259</v>
      </c>
      <c r="C63" s="14">
        <v>3174</v>
      </c>
      <c r="D63" s="14" t="s">
        <v>257</v>
      </c>
      <c r="E63" s="16">
        <v>10522</v>
      </c>
      <c r="F63" s="16" t="str">
        <f>METADATA_SOURCES!$A$12</f>
        <v>SRC011</v>
      </c>
    </row>
    <row r="64" spans="1:6" x14ac:dyDescent="0.3">
      <c r="A64" s="15" t="s">
        <v>642</v>
      </c>
      <c r="B64" s="14" t="s">
        <v>259</v>
      </c>
      <c r="C64" s="14">
        <v>3175</v>
      </c>
      <c r="D64" s="14" t="s">
        <v>258</v>
      </c>
      <c r="E64" s="16">
        <v>8077</v>
      </c>
      <c r="F64" s="16" t="str">
        <f>METADATA_SOURCES!$A$12</f>
        <v>SRC011</v>
      </c>
    </row>
    <row r="65" spans="1:6" x14ac:dyDescent="0.3">
      <c r="A65" s="15" t="s">
        <v>642</v>
      </c>
      <c r="B65" s="14" t="s">
        <v>259</v>
      </c>
      <c r="C65" s="14">
        <v>3216</v>
      </c>
      <c r="D65" s="14" t="s">
        <v>274</v>
      </c>
      <c r="E65" s="16">
        <v>24024</v>
      </c>
      <c r="F65" s="16" t="str">
        <f>METADATA_SOURCES!$A$12</f>
        <v>SRC011</v>
      </c>
    </row>
    <row r="66" spans="1:6" x14ac:dyDescent="0.3">
      <c r="A66" s="15" t="s">
        <v>642</v>
      </c>
      <c r="B66" s="14" t="s">
        <v>259</v>
      </c>
      <c r="C66" s="14">
        <v>3271</v>
      </c>
      <c r="D66" s="14" t="s">
        <v>277</v>
      </c>
      <c r="E66" s="16">
        <v>98093</v>
      </c>
      <c r="F66" s="16" t="str">
        <f>METADATA_SOURCES!$A$12</f>
        <v>SRC011</v>
      </c>
    </row>
    <row r="67" spans="1:6" x14ac:dyDescent="0.3">
      <c r="A67" s="15" t="s">
        <v>642</v>
      </c>
      <c r="B67" s="14" t="s">
        <v>259</v>
      </c>
      <c r="C67" s="14">
        <v>3275</v>
      </c>
      <c r="D67" s="14" t="s">
        <v>281</v>
      </c>
      <c r="E67" s="16">
        <v>27087</v>
      </c>
      <c r="F67" s="16" t="str">
        <f>METADATA_SOURCES!$A$12</f>
        <v>SRC011</v>
      </c>
    </row>
    <row r="68" spans="1:6" x14ac:dyDescent="0.3">
      <c r="A68" s="15" t="s">
        <v>642</v>
      </c>
      <c r="B68" s="14" t="s">
        <v>259</v>
      </c>
      <c r="C68" s="14">
        <v>3276</v>
      </c>
      <c r="D68" s="14" t="s">
        <v>282</v>
      </c>
      <c r="E68" s="16">
        <v>54590</v>
      </c>
      <c r="F68" s="16" t="str">
        <f>METADATA_SOURCES!$A$12</f>
        <v>SRC011</v>
      </c>
    </row>
    <row r="69" spans="1:6" x14ac:dyDescent="0.3">
      <c r="A69" s="15" t="s">
        <v>642</v>
      </c>
      <c r="B69" s="14" t="s">
        <v>259</v>
      </c>
      <c r="C69" s="14">
        <v>3603</v>
      </c>
      <c r="D69" s="14" t="s">
        <v>366</v>
      </c>
      <c r="E69" s="16">
        <v>10761</v>
      </c>
      <c r="F69" s="16" t="str">
        <f>METADATA_SOURCES!$A$12</f>
        <v>SRC011</v>
      </c>
    </row>
    <row r="70" spans="1:6" x14ac:dyDescent="0.3">
      <c r="A70" s="15" t="s">
        <v>642</v>
      </c>
      <c r="B70" s="14" t="s">
        <v>259</v>
      </c>
      <c r="C70" s="14">
        <v>3671</v>
      </c>
      <c r="D70" s="14" t="s">
        <v>368</v>
      </c>
      <c r="E70" s="16">
        <v>11303</v>
      </c>
      <c r="F70" s="16" t="str">
        <f>METADATA_SOURCES!$A$12</f>
        <v>SRC011</v>
      </c>
    </row>
    <row r="71" spans="1:6" x14ac:dyDescent="0.3">
      <c r="A71" s="15" t="s">
        <v>642</v>
      </c>
      <c r="B71" s="14" t="s">
        <v>259</v>
      </c>
      <c r="C71" s="14">
        <v>3674</v>
      </c>
      <c r="D71" s="14" t="s">
        <v>371</v>
      </c>
      <c r="E71" s="16">
        <v>27866</v>
      </c>
      <c r="F71" s="16" t="str">
        <f>METADATA_SOURCES!$A$12</f>
        <v>SRC011</v>
      </c>
    </row>
    <row r="72" spans="1:6" x14ac:dyDescent="0.3">
      <c r="A72" s="15" t="s">
        <v>643</v>
      </c>
      <c r="B72" s="14" t="s">
        <v>274</v>
      </c>
      <c r="C72" s="14">
        <v>3171</v>
      </c>
      <c r="D72" s="14" t="s">
        <v>254</v>
      </c>
      <c r="E72" s="16">
        <v>25841</v>
      </c>
      <c r="F72" s="16" t="str">
        <f>METADATA_SOURCES!$A$12</f>
        <v>SRC011</v>
      </c>
    </row>
    <row r="73" spans="1:6" x14ac:dyDescent="0.3">
      <c r="A73" s="15" t="s">
        <v>643</v>
      </c>
      <c r="B73" s="14" t="s">
        <v>274</v>
      </c>
      <c r="C73" s="14">
        <v>3172</v>
      </c>
      <c r="D73" s="14" t="s">
        <v>255</v>
      </c>
      <c r="E73" s="16">
        <v>38628</v>
      </c>
      <c r="F73" s="16" t="str">
        <f>METADATA_SOURCES!$A$12</f>
        <v>SRC011</v>
      </c>
    </row>
    <row r="74" spans="1:6" x14ac:dyDescent="0.3">
      <c r="A74" s="15" t="s">
        <v>643</v>
      </c>
      <c r="B74" s="14" t="s">
        <v>274</v>
      </c>
      <c r="C74" s="14">
        <v>3173</v>
      </c>
      <c r="D74" s="14" t="s">
        <v>256</v>
      </c>
      <c r="E74" s="16">
        <v>27033</v>
      </c>
      <c r="F74" s="16" t="str">
        <f>METADATA_SOURCES!$A$12</f>
        <v>SRC011</v>
      </c>
    </row>
    <row r="75" spans="1:6" x14ac:dyDescent="0.3">
      <c r="A75" s="15" t="s">
        <v>643</v>
      </c>
      <c r="B75" s="14" t="s">
        <v>274</v>
      </c>
      <c r="C75" s="14">
        <v>3174</v>
      </c>
      <c r="D75" s="14" t="s">
        <v>257</v>
      </c>
      <c r="E75" s="16">
        <v>4296</v>
      </c>
      <c r="F75" s="16" t="str">
        <f>METADATA_SOURCES!$A$12</f>
        <v>SRC011</v>
      </c>
    </row>
    <row r="76" spans="1:6" x14ac:dyDescent="0.3">
      <c r="A76" s="15" t="s">
        <v>643</v>
      </c>
      <c r="B76" s="14" t="s">
        <v>274</v>
      </c>
      <c r="C76" s="14">
        <v>3175</v>
      </c>
      <c r="D76" s="14" t="s">
        <v>258</v>
      </c>
      <c r="E76" s="16">
        <v>17903</v>
      </c>
      <c r="F76" s="16" t="str">
        <f>METADATA_SOURCES!$A$12</f>
        <v>SRC011</v>
      </c>
    </row>
    <row r="77" spans="1:6" x14ac:dyDescent="0.3">
      <c r="A77" s="15" t="s">
        <v>643</v>
      </c>
      <c r="B77" s="14" t="s">
        <v>274</v>
      </c>
      <c r="C77" s="14">
        <v>3201</v>
      </c>
      <c r="D77" s="14" t="s">
        <v>259</v>
      </c>
      <c r="E77" s="16">
        <v>5193</v>
      </c>
      <c r="F77" s="16" t="str">
        <f>METADATA_SOURCES!$A$12</f>
        <v>SRC011</v>
      </c>
    </row>
    <row r="78" spans="1:6" x14ac:dyDescent="0.3">
      <c r="A78" s="15" t="s">
        <v>643</v>
      </c>
      <c r="B78" s="14" t="s">
        <v>274</v>
      </c>
      <c r="C78" s="14">
        <v>3271</v>
      </c>
      <c r="D78" s="14" t="s">
        <v>277</v>
      </c>
      <c r="E78" s="16">
        <v>1045</v>
      </c>
      <c r="F78" s="16" t="str">
        <f>METADATA_SOURCES!$A$12</f>
        <v>SRC011</v>
      </c>
    </row>
    <row r="79" spans="1:6" x14ac:dyDescent="0.3">
      <c r="A79" s="15" t="s">
        <v>643</v>
      </c>
      <c r="B79" s="14" t="s">
        <v>274</v>
      </c>
      <c r="C79" s="14">
        <v>3275</v>
      </c>
      <c r="D79" s="14" t="s">
        <v>281</v>
      </c>
      <c r="E79" s="16">
        <v>94227</v>
      </c>
      <c r="F79" s="16" t="str">
        <f>METADATA_SOURCES!$A$12</f>
        <v>SRC011</v>
      </c>
    </row>
    <row r="80" spans="1:6" x14ac:dyDescent="0.3">
      <c r="A80" s="15" t="s">
        <v>643</v>
      </c>
      <c r="B80" s="14" t="s">
        <v>274</v>
      </c>
      <c r="C80" s="14">
        <v>3276</v>
      </c>
      <c r="D80" s="14" t="s">
        <v>282</v>
      </c>
      <c r="E80" s="16">
        <v>3969</v>
      </c>
      <c r="F80" s="16" t="str">
        <f>METADATA_SOURCES!$A$12</f>
        <v>SRC011</v>
      </c>
    </row>
    <row r="81" spans="1:6" x14ac:dyDescent="0.3">
      <c r="A81" s="15" t="s">
        <v>643</v>
      </c>
      <c r="B81" s="14" t="s">
        <v>274</v>
      </c>
      <c r="C81" s="14">
        <v>3674</v>
      </c>
      <c r="D81" s="14" t="s">
        <v>371</v>
      </c>
      <c r="E81" s="16">
        <v>2083</v>
      </c>
      <c r="F81" s="16" t="str">
        <f>METADATA_SOURCES!$A$12</f>
        <v>SRC011</v>
      </c>
    </row>
    <row r="82" spans="1:6" x14ac:dyDescent="0.3">
      <c r="A82" s="15" t="s">
        <v>644</v>
      </c>
      <c r="B82" s="14" t="s">
        <v>277</v>
      </c>
      <c r="C82" s="14">
        <v>3171</v>
      </c>
      <c r="D82" s="14" t="s">
        <v>254</v>
      </c>
      <c r="E82" s="16">
        <v>6811</v>
      </c>
      <c r="F82" s="16" t="str">
        <f>METADATA_SOURCES!$A$12</f>
        <v>SRC011</v>
      </c>
    </row>
    <row r="83" spans="1:6" x14ac:dyDescent="0.3">
      <c r="A83" s="15" t="s">
        <v>644</v>
      </c>
      <c r="B83" s="14" t="s">
        <v>277</v>
      </c>
      <c r="C83" s="14">
        <v>3172</v>
      </c>
      <c r="D83" s="14" t="s">
        <v>255</v>
      </c>
      <c r="E83" s="16">
        <v>1933</v>
      </c>
      <c r="F83" s="16" t="str">
        <f>METADATA_SOURCES!$A$12</f>
        <v>SRC011</v>
      </c>
    </row>
    <row r="84" spans="1:6" x14ac:dyDescent="0.3">
      <c r="A84" s="15" t="s">
        <v>644</v>
      </c>
      <c r="B84" s="14" t="s">
        <v>277</v>
      </c>
      <c r="C84" s="14">
        <v>3173</v>
      </c>
      <c r="D84" s="14" t="s">
        <v>256</v>
      </c>
      <c r="E84" s="16">
        <v>6104</v>
      </c>
      <c r="F84" s="16" t="str">
        <f>METADATA_SOURCES!$A$12</f>
        <v>SRC011</v>
      </c>
    </row>
    <row r="85" spans="1:6" x14ac:dyDescent="0.3">
      <c r="A85" s="15" t="s">
        <v>644</v>
      </c>
      <c r="B85" s="14" t="s">
        <v>277</v>
      </c>
      <c r="C85" s="14">
        <v>3174</v>
      </c>
      <c r="D85" s="14" t="s">
        <v>257</v>
      </c>
      <c r="E85" s="16">
        <v>2484</v>
      </c>
      <c r="F85" s="16" t="str">
        <f>METADATA_SOURCES!$A$12</f>
        <v>SRC011</v>
      </c>
    </row>
    <row r="86" spans="1:6" x14ac:dyDescent="0.3">
      <c r="A86" s="15" t="s">
        <v>644</v>
      </c>
      <c r="B86" s="14" t="s">
        <v>277</v>
      </c>
      <c r="C86" s="14">
        <v>3175</v>
      </c>
      <c r="D86" s="14" t="s">
        <v>258</v>
      </c>
      <c r="E86" s="16">
        <v>770</v>
      </c>
      <c r="F86" s="16" t="str">
        <f>METADATA_SOURCES!$A$12</f>
        <v>SRC011</v>
      </c>
    </row>
    <row r="87" spans="1:6" x14ac:dyDescent="0.3">
      <c r="A87" s="15" t="s">
        <v>644</v>
      </c>
      <c r="B87" s="14" t="s">
        <v>277</v>
      </c>
      <c r="C87" s="14">
        <v>3201</v>
      </c>
      <c r="D87" s="14" t="s">
        <v>259</v>
      </c>
      <c r="E87" s="16">
        <v>54114</v>
      </c>
      <c r="F87" s="16" t="str">
        <f>METADATA_SOURCES!$A$12</f>
        <v>SRC011</v>
      </c>
    </row>
    <row r="88" spans="1:6" x14ac:dyDescent="0.3">
      <c r="A88" s="15" t="s">
        <v>644</v>
      </c>
      <c r="B88" s="14" t="s">
        <v>277</v>
      </c>
      <c r="C88" s="14">
        <v>3275</v>
      </c>
      <c r="D88" s="14" t="s">
        <v>281</v>
      </c>
      <c r="E88" s="16">
        <v>785</v>
      </c>
      <c r="F88" s="16" t="str">
        <f>METADATA_SOURCES!$A$12</f>
        <v>SRC011</v>
      </c>
    </row>
    <row r="89" spans="1:6" x14ac:dyDescent="0.3">
      <c r="A89" s="15" t="s">
        <v>644</v>
      </c>
      <c r="B89" s="14" t="s">
        <v>277</v>
      </c>
      <c r="C89" s="14">
        <v>3276</v>
      </c>
      <c r="D89" s="14" t="s">
        <v>282</v>
      </c>
      <c r="E89" s="16">
        <v>3240</v>
      </c>
      <c r="F89" s="16" t="str">
        <f>METADATA_SOURCES!$A$12</f>
        <v>SRC011</v>
      </c>
    </row>
    <row r="90" spans="1:6" x14ac:dyDescent="0.3">
      <c r="A90" s="15" t="s">
        <v>644</v>
      </c>
      <c r="B90" s="14" t="s">
        <v>277</v>
      </c>
      <c r="C90" s="14">
        <v>3671</v>
      </c>
      <c r="D90" s="14" t="s">
        <v>368</v>
      </c>
      <c r="E90" s="16">
        <v>1055</v>
      </c>
      <c r="F90" s="16" t="str">
        <f>METADATA_SOURCES!$A$12</f>
        <v>SRC011</v>
      </c>
    </row>
    <row r="91" spans="1:6" x14ac:dyDescent="0.3">
      <c r="A91" s="15" t="s">
        <v>644</v>
      </c>
      <c r="B91" s="14" t="s">
        <v>277</v>
      </c>
      <c r="C91" s="14">
        <v>3674</v>
      </c>
      <c r="D91" s="14" t="s">
        <v>371</v>
      </c>
      <c r="E91" s="16">
        <v>1895</v>
      </c>
      <c r="F91" s="16" t="str">
        <f>METADATA_SOURCES!$A$12</f>
        <v>SRC011</v>
      </c>
    </row>
    <row r="92" spans="1:6" x14ac:dyDescent="0.3">
      <c r="A92" s="15" t="s">
        <v>645</v>
      </c>
      <c r="B92" s="14" t="s">
        <v>281</v>
      </c>
      <c r="C92" s="14">
        <v>3171</v>
      </c>
      <c r="D92" s="14" t="s">
        <v>254</v>
      </c>
      <c r="E92" s="16">
        <v>51290</v>
      </c>
      <c r="F92" s="16" t="str">
        <f>METADATA_SOURCES!$A$12</f>
        <v>SRC011</v>
      </c>
    </row>
    <row r="93" spans="1:6" x14ac:dyDescent="0.3">
      <c r="A93" s="15" t="s">
        <v>645</v>
      </c>
      <c r="B93" s="14" t="s">
        <v>281</v>
      </c>
      <c r="C93" s="14">
        <v>3172</v>
      </c>
      <c r="D93" s="14" t="s">
        <v>255</v>
      </c>
      <c r="E93" s="16">
        <v>110532</v>
      </c>
      <c r="F93" s="16" t="str">
        <f>METADATA_SOURCES!$A$12</f>
        <v>SRC011</v>
      </c>
    </row>
    <row r="94" spans="1:6" x14ac:dyDescent="0.3">
      <c r="A94" s="15" t="s">
        <v>645</v>
      </c>
      <c r="B94" s="14" t="s">
        <v>281</v>
      </c>
      <c r="C94" s="14">
        <v>3173</v>
      </c>
      <c r="D94" s="14" t="s">
        <v>256</v>
      </c>
      <c r="E94" s="16">
        <v>59522</v>
      </c>
      <c r="F94" s="16" t="str">
        <f>METADATA_SOURCES!$A$12</f>
        <v>SRC011</v>
      </c>
    </row>
    <row r="95" spans="1:6" x14ac:dyDescent="0.3">
      <c r="A95" s="15" t="s">
        <v>645</v>
      </c>
      <c r="B95" s="14" t="s">
        <v>281</v>
      </c>
      <c r="C95" s="14">
        <v>3174</v>
      </c>
      <c r="D95" s="14" t="s">
        <v>257</v>
      </c>
      <c r="E95" s="16">
        <v>15056</v>
      </c>
      <c r="F95" s="16" t="str">
        <f>METADATA_SOURCES!$A$12</f>
        <v>SRC011</v>
      </c>
    </row>
    <row r="96" spans="1:6" x14ac:dyDescent="0.3">
      <c r="A96" s="15" t="s">
        <v>645</v>
      </c>
      <c r="B96" s="14" t="s">
        <v>281</v>
      </c>
      <c r="C96" s="14">
        <v>3175</v>
      </c>
      <c r="D96" s="14" t="s">
        <v>258</v>
      </c>
      <c r="E96" s="16">
        <v>40834</v>
      </c>
      <c r="F96" s="16" t="str">
        <f>METADATA_SOURCES!$A$12</f>
        <v>SRC011</v>
      </c>
    </row>
    <row r="97" spans="1:6" x14ac:dyDescent="0.3">
      <c r="A97" s="15" t="s">
        <v>645</v>
      </c>
      <c r="B97" s="14" t="s">
        <v>281</v>
      </c>
      <c r="C97" s="14">
        <v>3201</v>
      </c>
      <c r="D97" s="14" t="s">
        <v>259</v>
      </c>
      <c r="E97" s="16">
        <v>8651</v>
      </c>
      <c r="F97" s="16" t="str">
        <f>METADATA_SOURCES!$A$12</f>
        <v>SRC011</v>
      </c>
    </row>
    <row r="98" spans="1:6" x14ac:dyDescent="0.3">
      <c r="A98" s="15" t="s">
        <v>645</v>
      </c>
      <c r="B98" s="14" t="s">
        <v>281</v>
      </c>
      <c r="C98" s="14">
        <v>3216</v>
      </c>
      <c r="D98" s="14" t="s">
        <v>274</v>
      </c>
      <c r="E98" s="16">
        <v>58921</v>
      </c>
      <c r="F98" s="16" t="str">
        <f>METADATA_SOURCES!$A$12</f>
        <v>SRC011</v>
      </c>
    </row>
    <row r="99" spans="1:6" x14ac:dyDescent="0.3">
      <c r="A99" s="15" t="s">
        <v>645</v>
      </c>
      <c r="B99" s="14" t="s">
        <v>281</v>
      </c>
      <c r="C99" s="14">
        <v>3271</v>
      </c>
      <c r="D99" s="14" t="s">
        <v>277</v>
      </c>
      <c r="E99" s="16">
        <v>3013</v>
      </c>
      <c r="F99" s="16" t="str">
        <f>METADATA_SOURCES!$A$12</f>
        <v>SRC011</v>
      </c>
    </row>
    <row r="100" spans="1:6" x14ac:dyDescent="0.3">
      <c r="A100" s="15" t="s">
        <v>645</v>
      </c>
      <c r="B100" s="14" t="s">
        <v>281</v>
      </c>
      <c r="C100" s="14">
        <v>3276</v>
      </c>
      <c r="D100" s="14" t="s">
        <v>282</v>
      </c>
      <c r="E100" s="16">
        <v>12129</v>
      </c>
      <c r="F100" s="16" t="str">
        <f>METADATA_SOURCES!$A$12</f>
        <v>SRC011</v>
      </c>
    </row>
    <row r="101" spans="1:6" x14ac:dyDescent="0.3">
      <c r="A101" s="15" t="s">
        <v>645</v>
      </c>
      <c r="B101" s="14" t="s">
        <v>281</v>
      </c>
      <c r="C101" s="14">
        <v>3671</v>
      </c>
      <c r="D101" s="14" t="s">
        <v>368</v>
      </c>
      <c r="E101" s="16">
        <v>7933</v>
      </c>
      <c r="F101" s="16" t="str">
        <f>METADATA_SOURCES!$A$12</f>
        <v>SRC011</v>
      </c>
    </row>
    <row r="102" spans="1:6" x14ac:dyDescent="0.3">
      <c r="A102" s="15" t="s">
        <v>645</v>
      </c>
      <c r="B102" s="14" t="s">
        <v>281</v>
      </c>
      <c r="C102" s="14">
        <v>3674</v>
      </c>
      <c r="D102" s="14" t="s">
        <v>371</v>
      </c>
      <c r="E102" s="16">
        <v>722</v>
      </c>
      <c r="F102" s="16" t="str">
        <f>METADATA_SOURCES!$A$12</f>
        <v>SRC011</v>
      </c>
    </row>
    <row r="103" spans="1:6" x14ac:dyDescent="0.3">
      <c r="A103" s="15" t="s">
        <v>646</v>
      </c>
      <c r="B103" s="14" t="s">
        <v>282</v>
      </c>
      <c r="C103" s="14">
        <v>3171</v>
      </c>
      <c r="D103" s="14" t="s">
        <v>254</v>
      </c>
      <c r="E103" s="16">
        <v>158991</v>
      </c>
      <c r="F103" s="16" t="str">
        <f>METADATA_SOURCES!$A$12</f>
        <v>SRC011</v>
      </c>
    </row>
    <row r="104" spans="1:6" x14ac:dyDescent="0.3">
      <c r="A104" s="15" t="s">
        <v>646</v>
      </c>
      <c r="B104" s="14" t="s">
        <v>282</v>
      </c>
      <c r="C104" s="14">
        <v>3172</v>
      </c>
      <c r="D104" s="14" t="s">
        <v>255</v>
      </c>
      <c r="E104" s="16">
        <v>57668</v>
      </c>
      <c r="F104" s="16" t="str">
        <f>METADATA_SOURCES!$A$12</f>
        <v>SRC011</v>
      </c>
    </row>
    <row r="105" spans="1:6" x14ac:dyDescent="0.3">
      <c r="A105" s="15" t="s">
        <v>646</v>
      </c>
      <c r="B105" s="14" t="s">
        <v>282</v>
      </c>
      <c r="C105" s="14">
        <v>3173</v>
      </c>
      <c r="D105" s="14" t="s">
        <v>256</v>
      </c>
      <c r="E105" s="16">
        <v>56738</v>
      </c>
      <c r="F105" s="16" t="str">
        <f>METADATA_SOURCES!$A$12</f>
        <v>SRC011</v>
      </c>
    </row>
    <row r="106" spans="1:6" x14ac:dyDescent="0.3">
      <c r="A106" s="15" t="s">
        <v>646</v>
      </c>
      <c r="B106" s="14" t="s">
        <v>282</v>
      </c>
      <c r="C106" s="14">
        <v>3174</v>
      </c>
      <c r="D106" s="14" t="s">
        <v>257</v>
      </c>
      <c r="E106" s="16">
        <v>13349</v>
      </c>
      <c r="F106" s="16" t="str">
        <f>METADATA_SOURCES!$A$12</f>
        <v>SRC011</v>
      </c>
    </row>
    <row r="107" spans="1:6" x14ac:dyDescent="0.3">
      <c r="A107" s="15" t="s">
        <v>646</v>
      </c>
      <c r="B107" s="14" t="s">
        <v>282</v>
      </c>
      <c r="C107" s="14">
        <v>3175</v>
      </c>
      <c r="D107" s="14" t="s">
        <v>258</v>
      </c>
      <c r="E107" s="16">
        <v>9742</v>
      </c>
      <c r="F107" s="16" t="str">
        <f>METADATA_SOURCES!$A$12</f>
        <v>SRC011</v>
      </c>
    </row>
    <row r="108" spans="1:6" x14ac:dyDescent="0.3">
      <c r="A108" s="15" t="s">
        <v>646</v>
      </c>
      <c r="B108" s="14" t="s">
        <v>282</v>
      </c>
      <c r="C108" s="14">
        <v>3201</v>
      </c>
      <c r="D108" s="14" t="s">
        <v>259</v>
      </c>
      <c r="E108" s="16">
        <v>41361</v>
      </c>
      <c r="F108" s="16" t="str">
        <f>METADATA_SOURCES!$A$12</f>
        <v>SRC011</v>
      </c>
    </row>
    <row r="109" spans="1:6" x14ac:dyDescent="0.3">
      <c r="A109" s="15" t="s">
        <v>646</v>
      </c>
      <c r="B109" s="14" t="s">
        <v>282</v>
      </c>
      <c r="C109" s="14">
        <v>3216</v>
      </c>
      <c r="D109" s="14" t="s">
        <v>274</v>
      </c>
      <c r="E109" s="16">
        <v>3049</v>
      </c>
      <c r="F109" s="16" t="str">
        <f>METADATA_SOURCES!$A$12</f>
        <v>SRC011</v>
      </c>
    </row>
    <row r="110" spans="1:6" x14ac:dyDescent="0.3">
      <c r="A110" s="15" t="s">
        <v>646</v>
      </c>
      <c r="B110" s="14" t="s">
        <v>282</v>
      </c>
      <c r="C110" s="14">
        <v>3271</v>
      </c>
      <c r="D110" s="14" t="s">
        <v>277</v>
      </c>
      <c r="E110" s="16">
        <v>11149</v>
      </c>
      <c r="F110" s="16" t="str">
        <f>METADATA_SOURCES!$A$12</f>
        <v>SRC011</v>
      </c>
    </row>
    <row r="111" spans="1:6" x14ac:dyDescent="0.3">
      <c r="A111" s="15" t="s">
        <v>646</v>
      </c>
      <c r="B111" s="14" t="s">
        <v>282</v>
      </c>
      <c r="C111" s="14">
        <v>3275</v>
      </c>
      <c r="D111" s="14" t="s">
        <v>281</v>
      </c>
      <c r="E111" s="16">
        <v>6481</v>
      </c>
      <c r="F111" s="16" t="str">
        <f>METADATA_SOURCES!$A$12</f>
        <v>SRC011</v>
      </c>
    </row>
    <row r="112" spans="1:6" x14ac:dyDescent="0.3">
      <c r="A112" s="15" t="s">
        <v>646</v>
      </c>
      <c r="B112" s="14" t="s">
        <v>282</v>
      </c>
      <c r="C112" s="14">
        <v>3603</v>
      </c>
      <c r="D112" s="14" t="s">
        <v>366</v>
      </c>
      <c r="E112" s="16">
        <v>2425</v>
      </c>
      <c r="F112" s="16" t="str">
        <f>METADATA_SOURCES!$A$12</f>
        <v>SRC011</v>
      </c>
    </row>
    <row r="113" spans="1:6" x14ac:dyDescent="0.3">
      <c r="A113" s="15" t="s">
        <v>646</v>
      </c>
      <c r="B113" s="14" t="s">
        <v>282</v>
      </c>
      <c r="C113" s="14">
        <v>3671</v>
      </c>
      <c r="D113" s="14" t="s">
        <v>368</v>
      </c>
      <c r="E113" s="16">
        <v>4583</v>
      </c>
      <c r="F113" s="16" t="str">
        <f>METADATA_SOURCES!$A$12</f>
        <v>SRC011</v>
      </c>
    </row>
    <row r="114" spans="1:6" x14ac:dyDescent="0.3">
      <c r="A114" s="15" t="s">
        <v>646</v>
      </c>
      <c r="B114" s="14" t="s">
        <v>282</v>
      </c>
      <c r="C114" s="14">
        <v>3674</v>
      </c>
      <c r="D114" s="14" t="s">
        <v>371</v>
      </c>
      <c r="E114" s="16">
        <v>28266</v>
      </c>
      <c r="F114" s="16" t="str">
        <f>METADATA_SOURCES!$A$12</f>
        <v>SRC011</v>
      </c>
    </row>
    <row r="115" spans="1:6" x14ac:dyDescent="0.3">
      <c r="A115" s="15" t="s">
        <v>647</v>
      </c>
      <c r="B115" s="14" t="s">
        <v>366</v>
      </c>
      <c r="C115" s="14">
        <v>3171</v>
      </c>
      <c r="D115" s="14" t="s">
        <v>254</v>
      </c>
      <c r="E115" s="16">
        <v>16559</v>
      </c>
      <c r="F115" s="16" t="str">
        <f>METADATA_SOURCES!$A$12</f>
        <v>SRC011</v>
      </c>
    </row>
    <row r="116" spans="1:6" x14ac:dyDescent="0.3">
      <c r="A116" s="15" t="s">
        <v>647</v>
      </c>
      <c r="B116" s="14" t="s">
        <v>366</v>
      </c>
      <c r="C116" s="14">
        <v>3172</v>
      </c>
      <c r="D116" s="14" t="s">
        <v>255</v>
      </c>
      <c r="E116" s="16">
        <v>597</v>
      </c>
      <c r="F116" s="16" t="str">
        <f>METADATA_SOURCES!$A$12</f>
        <v>SRC011</v>
      </c>
    </row>
    <row r="117" spans="1:6" x14ac:dyDescent="0.3">
      <c r="A117" s="15" t="s">
        <v>647</v>
      </c>
      <c r="B117" s="14" t="s">
        <v>366</v>
      </c>
      <c r="C117" s="14">
        <v>3173</v>
      </c>
      <c r="D117" s="14" t="s">
        <v>256</v>
      </c>
      <c r="E117" s="16">
        <v>16987</v>
      </c>
      <c r="F117" s="16" t="str">
        <f>METADATA_SOURCES!$A$12</f>
        <v>SRC011</v>
      </c>
    </row>
    <row r="118" spans="1:6" x14ac:dyDescent="0.3">
      <c r="A118" s="15" t="s">
        <v>647</v>
      </c>
      <c r="B118" s="14" t="s">
        <v>366</v>
      </c>
      <c r="C118" s="14">
        <v>3174</v>
      </c>
      <c r="D118" s="14" t="s">
        <v>257</v>
      </c>
      <c r="E118" s="16">
        <v>27321</v>
      </c>
      <c r="F118" s="16" t="str">
        <f>METADATA_SOURCES!$A$12</f>
        <v>SRC011</v>
      </c>
    </row>
    <row r="119" spans="1:6" x14ac:dyDescent="0.3">
      <c r="A119" s="15" t="s">
        <v>647</v>
      </c>
      <c r="B119" s="14" t="s">
        <v>366</v>
      </c>
      <c r="C119" s="14">
        <v>3175</v>
      </c>
      <c r="D119" s="14" t="s">
        <v>258</v>
      </c>
      <c r="E119" s="16">
        <v>8329</v>
      </c>
      <c r="F119" s="16" t="str">
        <f>METADATA_SOURCES!$A$12</f>
        <v>SRC011</v>
      </c>
    </row>
    <row r="120" spans="1:6" x14ac:dyDescent="0.3">
      <c r="A120" s="15" t="s">
        <v>647</v>
      </c>
      <c r="B120" s="14" t="s">
        <v>366</v>
      </c>
      <c r="C120" s="14">
        <v>3201</v>
      </c>
      <c r="D120" s="14" t="s">
        <v>259</v>
      </c>
      <c r="E120" s="16">
        <v>6287</v>
      </c>
      <c r="F120" s="16" t="str">
        <f>METADATA_SOURCES!$A$12</f>
        <v>SRC011</v>
      </c>
    </row>
    <row r="121" spans="1:6" x14ac:dyDescent="0.3">
      <c r="A121" s="15" t="s">
        <v>647</v>
      </c>
      <c r="B121" s="14" t="s">
        <v>366</v>
      </c>
      <c r="C121" s="14">
        <v>3216</v>
      </c>
      <c r="D121" s="14" t="s">
        <v>274</v>
      </c>
      <c r="E121" s="16">
        <v>2098</v>
      </c>
      <c r="F121" s="16" t="str">
        <f>METADATA_SOURCES!$A$12</f>
        <v>SRC011</v>
      </c>
    </row>
    <row r="122" spans="1:6" x14ac:dyDescent="0.3">
      <c r="A122" s="15" t="s">
        <v>647</v>
      </c>
      <c r="B122" s="14" t="s">
        <v>366</v>
      </c>
      <c r="C122" s="14">
        <v>3671</v>
      </c>
      <c r="D122" s="14" t="s">
        <v>368</v>
      </c>
      <c r="E122" s="16">
        <v>113269</v>
      </c>
      <c r="F122" s="16" t="str">
        <f>METADATA_SOURCES!$A$12</f>
        <v>SRC011</v>
      </c>
    </row>
    <row r="123" spans="1:6" x14ac:dyDescent="0.3">
      <c r="A123" s="15" t="s">
        <v>647</v>
      </c>
      <c r="B123" s="14" t="s">
        <v>366</v>
      </c>
      <c r="C123" s="14">
        <v>3674</v>
      </c>
      <c r="D123" s="14" t="s">
        <v>371</v>
      </c>
      <c r="E123" s="16">
        <v>25978</v>
      </c>
      <c r="F123" s="16" t="str">
        <f>METADATA_SOURCES!$A$12</f>
        <v>SRC011</v>
      </c>
    </row>
    <row r="124" spans="1:6" x14ac:dyDescent="0.3">
      <c r="A124" s="15" t="s">
        <v>648</v>
      </c>
      <c r="B124" s="14" t="s">
        <v>368</v>
      </c>
      <c r="C124" s="14">
        <v>3171</v>
      </c>
      <c r="D124" s="14" t="s">
        <v>254</v>
      </c>
      <c r="E124" s="16">
        <v>52041</v>
      </c>
      <c r="F124" s="16" t="str">
        <f>METADATA_SOURCES!$A$12</f>
        <v>SRC011</v>
      </c>
    </row>
    <row r="125" spans="1:6" x14ac:dyDescent="0.3">
      <c r="A125" s="15" t="s">
        <v>648</v>
      </c>
      <c r="B125" s="14" t="s">
        <v>368</v>
      </c>
      <c r="C125" s="14">
        <v>3172</v>
      </c>
      <c r="D125" s="14" t="s">
        <v>255</v>
      </c>
      <c r="E125" s="16">
        <v>7279</v>
      </c>
      <c r="F125" s="16" t="str">
        <f>METADATA_SOURCES!$A$12</f>
        <v>SRC011</v>
      </c>
    </row>
    <row r="126" spans="1:6" x14ac:dyDescent="0.3">
      <c r="A126" s="15" t="s">
        <v>648</v>
      </c>
      <c r="B126" s="14" t="s">
        <v>368</v>
      </c>
      <c r="C126" s="14">
        <v>3173</v>
      </c>
      <c r="D126" s="14" t="s">
        <v>256</v>
      </c>
      <c r="E126" s="16">
        <v>28999</v>
      </c>
      <c r="F126" s="16" t="str">
        <f>METADATA_SOURCES!$A$12</f>
        <v>SRC011</v>
      </c>
    </row>
    <row r="127" spans="1:6" x14ac:dyDescent="0.3">
      <c r="A127" s="15" t="s">
        <v>648</v>
      </c>
      <c r="B127" s="14" t="s">
        <v>368</v>
      </c>
      <c r="C127" s="14">
        <v>3174</v>
      </c>
      <c r="D127" s="14" t="s">
        <v>257</v>
      </c>
      <c r="E127" s="16">
        <v>72950</v>
      </c>
      <c r="F127" s="16" t="str">
        <f>METADATA_SOURCES!$A$12</f>
        <v>SRC011</v>
      </c>
    </row>
    <row r="128" spans="1:6" x14ac:dyDescent="0.3">
      <c r="A128" s="15" t="s">
        <v>648</v>
      </c>
      <c r="B128" s="14" t="s">
        <v>368</v>
      </c>
      <c r="C128" s="14">
        <v>3175</v>
      </c>
      <c r="D128" s="14" t="s">
        <v>258</v>
      </c>
      <c r="E128" s="16">
        <v>11141</v>
      </c>
      <c r="F128" s="16" t="str">
        <f>METADATA_SOURCES!$A$12</f>
        <v>SRC011</v>
      </c>
    </row>
    <row r="129" spans="1:6" x14ac:dyDescent="0.3">
      <c r="A129" s="15" t="s">
        <v>648</v>
      </c>
      <c r="B129" s="14" t="s">
        <v>368</v>
      </c>
      <c r="C129" s="14">
        <v>3216</v>
      </c>
      <c r="D129" s="14" t="s">
        <v>274</v>
      </c>
      <c r="E129" s="16">
        <v>3113</v>
      </c>
      <c r="F129" s="16" t="str">
        <f>METADATA_SOURCES!$A$12</f>
        <v>SRC011</v>
      </c>
    </row>
    <row r="130" spans="1:6" x14ac:dyDescent="0.3">
      <c r="A130" s="15" t="s">
        <v>648</v>
      </c>
      <c r="B130" s="14" t="s">
        <v>368</v>
      </c>
      <c r="C130" s="14">
        <v>3275</v>
      </c>
      <c r="D130" s="14" t="s">
        <v>281</v>
      </c>
      <c r="E130" s="16">
        <v>427</v>
      </c>
      <c r="F130" s="16" t="str">
        <f>METADATA_SOURCES!$A$12</f>
        <v>SRC011</v>
      </c>
    </row>
    <row r="131" spans="1:6" x14ac:dyDescent="0.3">
      <c r="A131" s="15" t="s">
        <v>648</v>
      </c>
      <c r="B131" s="14" t="s">
        <v>368</v>
      </c>
      <c r="C131" s="14">
        <v>3276</v>
      </c>
      <c r="D131" s="14" t="s">
        <v>282</v>
      </c>
      <c r="E131" s="16">
        <v>619</v>
      </c>
      <c r="F131" s="16" t="str">
        <f>METADATA_SOURCES!$A$12</f>
        <v>SRC011</v>
      </c>
    </row>
    <row r="132" spans="1:6" x14ac:dyDescent="0.3">
      <c r="A132" s="15" t="s">
        <v>648</v>
      </c>
      <c r="B132" s="14" t="s">
        <v>368</v>
      </c>
      <c r="C132" s="14">
        <v>3603</v>
      </c>
      <c r="D132" s="14" t="s">
        <v>366</v>
      </c>
      <c r="E132" s="16">
        <v>25742</v>
      </c>
      <c r="F132" s="16" t="str">
        <f>METADATA_SOURCES!$A$12</f>
        <v>SRC011</v>
      </c>
    </row>
    <row r="133" spans="1:6" x14ac:dyDescent="0.3">
      <c r="A133" s="15" t="s">
        <v>648</v>
      </c>
      <c r="B133" s="14" t="s">
        <v>368</v>
      </c>
      <c r="C133" s="14">
        <v>3674</v>
      </c>
      <c r="D133" s="14" t="s">
        <v>371</v>
      </c>
      <c r="E133" s="16">
        <v>28693</v>
      </c>
      <c r="F133" s="16" t="str">
        <f>METADATA_SOURCES!$A$12</f>
        <v>SRC011</v>
      </c>
    </row>
    <row r="134" spans="1:6" x14ac:dyDescent="0.3">
      <c r="A134" s="15" t="s">
        <v>649</v>
      </c>
      <c r="B134" s="14" t="s">
        <v>371</v>
      </c>
      <c r="C134" s="14">
        <v>3171</v>
      </c>
      <c r="D134" s="14" t="s">
        <v>254</v>
      </c>
      <c r="E134" s="16">
        <v>92429</v>
      </c>
      <c r="F134" s="16" t="str">
        <f>METADATA_SOURCES!$A$12</f>
        <v>SRC011</v>
      </c>
    </row>
    <row r="135" spans="1:6" x14ac:dyDescent="0.3">
      <c r="A135" s="15" t="s">
        <v>649</v>
      </c>
      <c r="B135" s="14" t="s">
        <v>371</v>
      </c>
      <c r="C135" s="14">
        <v>3172</v>
      </c>
      <c r="D135" s="14" t="s">
        <v>255</v>
      </c>
      <c r="E135" s="16">
        <v>9161</v>
      </c>
      <c r="F135" s="16" t="str">
        <f>METADATA_SOURCES!$A$12</f>
        <v>SRC011</v>
      </c>
    </row>
    <row r="136" spans="1:6" x14ac:dyDescent="0.3">
      <c r="A136" s="15" t="s">
        <v>649</v>
      </c>
      <c r="B136" s="14" t="s">
        <v>371</v>
      </c>
      <c r="C136" s="14">
        <v>3173</v>
      </c>
      <c r="D136" s="14" t="s">
        <v>256</v>
      </c>
      <c r="E136" s="16">
        <v>30536</v>
      </c>
      <c r="F136" s="16" t="str">
        <f>METADATA_SOURCES!$A$12</f>
        <v>SRC011</v>
      </c>
    </row>
    <row r="137" spans="1:6" x14ac:dyDescent="0.3">
      <c r="A137" s="15" t="s">
        <v>649</v>
      </c>
      <c r="B137" s="14" t="s">
        <v>371</v>
      </c>
      <c r="C137" s="14">
        <v>3174</v>
      </c>
      <c r="D137" s="14" t="s">
        <v>257</v>
      </c>
      <c r="E137" s="16">
        <v>21004</v>
      </c>
      <c r="F137" s="16" t="str">
        <f>METADATA_SOURCES!$A$12</f>
        <v>SRC011</v>
      </c>
    </row>
    <row r="138" spans="1:6" x14ac:dyDescent="0.3">
      <c r="A138" s="15" t="s">
        <v>649</v>
      </c>
      <c r="B138" s="14" t="s">
        <v>371</v>
      </c>
      <c r="C138" s="14">
        <v>3175</v>
      </c>
      <c r="D138" s="14" t="s">
        <v>258</v>
      </c>
      <c r="E138" s="16">
        <v>5894</v>
      </c>
      <c r="F138" s="16" t="str">
        <f>METADATA_SOURCES!$A$12</f>
        <v>SRC011</v>
      </c>
    </row>
    <row r="139" spans="1:6" x14ac:dyDescent="0.3">
      <c r="A139" s="15" t="s">
        <v>649</v>
      </c>
      <c r="B139" s="14" t="s">
        <v>371</v>
      </c>
      <c r="C139" s="14">
        <v>3201</v>
      </c>
      <c r="D139" s="14" t="s">
        <v>259</v>
      </c>
      <c r="E139" s="16">
        <v>2042</v>
      </c>
      <c r="F139" s="16" t="str">
        <f>METADATA_SOURCES!$A$12</f>
        <v>SRC011</v>
      </c>
    </row>
    <row r="140" spans="1:6" x14ac:dyDescent="0.3">
      <c r="A140" s="15" t="s">
        <v>649</v>
      </c>
      <c r="B140" s="14" t="s">
        <v>371</v>
      </c>
      <c r="C140" s="14">
        <v>3216</v>
      </c>
      <c r="D140" s="14" t="s">
        <v>274</v>
      </c>
      <c r="E140" s="16">
        <v>451</v>
      </c>
      <c r="F140" s="16" t="str">
        <f>METADATA_SOURCES!$A$12</f>
        <v>SRC011</v>
      </c>
    </row>
    <row r="141" spans="1:6" x14ac:dyDescent="0.3">
      <c r="A141" s="15" t="s">
        <v>649</v>
      </c>
      <c r="B141" s="14" t="s">
        <v>371</v>
      </c>
      <c r="C141" s="14">
        <v>3276</v>
      </c>
      <c r="D141" s="14" t="s">
        <v>282</v>
      </c>
      <c r="E141" s="16">
        <v>9645</v>
      </c>
      <c r="F141" s="16" t="str">
        <f>METADATA_SOURCES!$A$12</f>
        <v>SRC011</v>
      </c>
    </row>
    <row r="142" spans="1:6" x14ac:dyDescent="0.3">
      <c r="A142" s="15" t="s">
        <v>649</v>
      </c>
      <c r="B142" s="14" t="s">
        <v>371</v>
      </c>
      <c r="C142" s="14">
        <v>3603</v>
      </c>
      <c r="D142" s="14" t="s">
        <v>366</v>
      </c>
      <c r="E142" s="16">
        <v>6089</v>
      </c>
      <c r="F142" s="16" t="str">
        <f>METADATA_SOURCES!$A$12</f>
        <v>SRC011</v>
      </c>
    </row>
    <row r="143" spans="1:6" x14ac:dyDescent="0.3">
      <c r="A143" s="15" t="s">
        <v>649</v>
      </c>
      <c r="B143" s="14" t="s">
        <v>371</v>
      </c>
      <c r="C143" s="14">
        <v>3671</v>
      </c>
      <c r="D143" s="14" t="s">
        <v>368</v>
      </c>
      <c r="E143" s="16">
        <v>19032</v>
      </c>
      <c r="F143" s="16" t="str">
        <f>METADATA_SOURCES!$A$12</f>
        <v>SRC011</v>
      </c>
    </row>
  </sheetData>
  <pageMargins left="0.75" right="0.75" top="1" bottom="1" header="0.5" footer="0.5"/>
  <pageSetup orientation="portrait" r:id="rId1"/>
  <ignoredErrors>
    <ignoredError sqref="F2" calculatedColumn="1"/>
  </ignoredError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7"/>
  <sheetViews>
    <sheetView workbookViewId="0">
      <pane ySplit="1" topLeftCell="A2" activePane="bottomLeft" state="frozen"/>
      <selection pane="bottomLeft" activeCell="F19" sqref="F8:F19"/>
    </sheetView>
  </sheetViews>
  <sheetFormatPr defaultRowHeight="14.4" x14ac:dyDescent="0.3"/>
  <cols>
    <col min="1" max="1" width="14" customWidth="1"/>
    <col min="2" max="2" width="25" customWidth="1"/>
    <col min="3" max="3" width="14.109375" customWidth="1"/>
    <col min="4" max="4" width="25" customWidth="1"/>
    <col min="5" max="5" width="18" customWidth="1"/>
  </cols>
  <sheetData>
    <row r="1" spans="1:5" x14ac:dyDescent="0.3">
      <c r="A1" s="24" t="s">
        <v>714</v>
      </c>
      <c r="B1" s="25" t="s">
        <v>713</v>
      </c>
      <c r="C1" s="25" t="s">
        <v>712</v>
      </c>
      <c r="D1" s="25" t="s">
        <v>711</v>
      </c>
      <c r="E1" s="25" t="s">
        <v>715</v>
      </c>
    </row>
    <row r="2" spans="1:5" x14ac:dyDescent="0.3">
      <c r="A2" s="17">
        <v>31</v>
      </c>
      <c r="B2" s="1" t="s">
        <v>52</v>
      </c>
      <c r="C2" s="1">
        <v>11</v>
      </c>
      <c r="D2" s="1" t="s">
        <v>42</v>
      </c>
      <c r="E2" s="8">
        <v>2000</v>
      </c>
    </row>
    <row r="3" spans="1:5" x14ac:dyDescent="0.3">
      <c r="A3" s="17">
        <v>31</v>
      </c>
      <c r="B3" s="1" t="s">
        <v>52</v>
      </c>
      <c r="C3" s="1">
        <v>12</v>
      </c>
      <c r="D3" s="1" t="s">
        <v>43</v>
      </c>
      <c r="E3" s="8">
        <v>19064</v>
      </c>
    </row>
    <row r="4" spans="1:5" x14ac:dyDescent="0.3">
      <c r="A4" s="17">
        <v>31</v>
      </c>
      <c r="B4" s="1" t="s">
        <v>52</v>
      </c>
      <c r="C4" s="1">
        <v>13</v>
      </c>
      <c r="D4" s="1" t="s">
        <v>44</v>
      </c>
      <c r="E4" s="8">
        <v>22428</v>
      </c>
    </row>
    <row r="5" spans="1:5" x14ac:dyDescent="0.3">
      <c r="A5" s="17">
        <v>31</v>
      </c>
      <c r="B5" s="1" t="s">
        <v>52</v>
      </c>
      <c r="C5" s="1">
        <v>14</v>
      </c>
      <c r="D5" s="1" t="s">
        <v>45</v>
      </c>
      <c r="E5" s="8">
        <v>2643</v>
      </c>
    </row>
    <row r="6" spans="1:5" x14ac:dyDescent="0.3">
      <c r="A6" s="17">
        <v>31</v>
      </c>
      <c r="B6" s="1" t="s">
        <v>52</v>
      </c>
      <c r="C6" s="1">
        <v>15</v>
      </c>
      <c r="D6" s="1" t="s">
        <v>46</v>
      </c>
      <c r="E6" s="8">
        <v>1670</v>
      </c>
    </row>
    <row r="7" spans="1:5" x14ac:dyDescent="0.3">
      <c r="A7" s="17">
        <v>31</v>
      </c>
      <c r="B7" s="1" t="s">
        <v>52</v>
      </c>
      <c r="C7" s="1">
        <v>16</v>
      </c>
      <c r="D7" s="1" t="s">
        <v>47</v>
      </c>
      <c r="E7" s="8">
        <v>5757</v>
      </c>
    </row>
    <row r="8" spans="1:5" x14ac:dyDescent="0.3">
      <c r="A8" s="17">
        <v>31</v>
      </c>
      <c r="B8" s="1" t="s">
        <v>52</v>
      </c>
      <c r="C8" s="1">
        <v>17</v>
      </c>
      <c r="D8" s="1" t="s">
        <v>48</v>
      </c>
      <c r="E8" s="8">
        <v>2108</v>
      </c>
    </row>
    <row r="9" spans="1:5" x14ac:dyDescent="0.3">
      <c r="A9" s="17">
        <v>31</v>
      </c>
      <c r="B9" s="1" t="s">
        <v>52</v>
      </c>
      <c r="C9" s="1">
        <v>18</v>
      </c>
      <c r="D9" s="1" t="s">
        <v>49</v>
      </c>
      <c r="E9" s="8">
        <v>18517</v>
      </c>
    </row>
    <row r="10" spans="1:5" x14ac:dyDescent="0.3">
      <c r="A10" s="17">
        <v>31</v>
      </c>
      <c r="B10" s="1" t="s">
        <v>52</v>
      </c>
      <c r="C10" s="1">
        <v>19</v>
      </c>
      <c r="D10" s="1" t="s">
        <v>50</v>
      </c>
      <c r="E10" s="8">
        <v>3638</v>
      </c>
    </row>
    <row r="11" spans="1:5" x14ac:dyDescent="0.3">
      <c r="A11" s="17">
        <v>31</v>
      </c>
      <c r="B11" s="1" t="s">
        <v>52</v>
      </c>
      <c r="C11" s="1">
        <v>21</v>
      </c>
      <c r="D11" s="1" t="s">
        <v>51</v>
      </c>
      <c r="E11" s="8">
        <v>3380</v>
      </c>
    </row>
    <row r="12" spans="1:5" x14ac:dyDescent="0.3">
      <c r="A12" s="17">
        <v>31</v>
      </c>
      <c r="B12" s="1" t="s">
        <v>52</v>
      </c>
      <c r="C12" s="1">
        <v>32</v>
      </c>
      <c r="D12" s="1" t="s">
        <v>53</v>
      </c>
      <c r="E12" s="8">
        <v>339634</v>
      </c>
    </row>
    <row r="13" spans="1:5" x14ac:dyDescent="0.3">
      <c r="A13" s="17">
        <v>31</v>
      </c>
      <c r="B13" s="1" t="s">
        <v>52</v>
      </c>
      <c r="C13" s="1">
        <v>33</v>
      </c>
      <c r="D13" s="1" t="s">
        <v>54</v>
      </c>
      <c r="E13" s="8">
        <v>188939</v>
      </c>
    </row>
    <row r="14" spans="1:5" x14ac:dyDescent="0.3">
      <c r="A14" s="17">
        <v>31</v>
      </c>
      <c r="B14" s="1" t="s">
        <v>52</v>
      </c>
      <c r="C14" s="1">
        <v>34</v>
      </c>
      <c r="D14" s="1" t="s">
        <v>55</v>
      </c>
      <c r="E14" s="8">
        <v>15291</v>
      </c>
    </row>
    <row r="15" spans="1:5" x14ac:dyDescent="0.3">
      <c r="A15" s="17">
        <v>31</v>
      </c>
      <c r="B15" s="1" t="s">
        <v>52</v>
      </c>
      <c r="C15" s="1">
        <v>35</v>
      </c>
      <c r="D15" s="1" t="s">
        <v>56</v>
      </c>
      <c r="E15" s="8">
        <v>31387</v>
      </c>
    </row>
    <row r="16" spans="1:5" x14ac:dyDescent="0.3">
      <c r="A16" s="17">
        <v>31</v>
      </c>
      <c r="B16" s="1" t="s">
        <v>52</v>
      </c>
      <c r="C16" s="1">
        <v>36</v>
      </c>
      <c r="D16" s="1" t="s">
        <v>57</v>
      </c>
      <c r="E16" s="8">
        <v>103105</v>
      </c>
    </row>
    <row r="17" spans="1:5" x14ac:dyDescent="0.3">
      <c r="A17" s="17">
        <v>31</v>
      </c>
      <c r="B17" s="1" t="s">
        <v>52</v>
      </c>
      <c r="C17" s="1">
        <v>51</v>
      </c>
      <c r="D17" s="1" t="s">
        <v>58</v>
      </c>
      <c r="E17" s="8">
        <v>2897</v>
      </c>
    </row>
    <row r="18" spans="1:5" x14ac:dyDescent="0.3">
      <c r="A18" s="17">
        <v>31</v>
      </c>
      <c r="B18" s="1" t="s">
        <v>52</v>
      </c>
      <c r="C18" s="1">
        <v>52</v>
      </c>
      <c r="D18" s="1" t="s">
        <v>59</v>
      </c>
      <c r="E18" s="8">
        <v>3969</v>
      </c>
    </row>
    <row r="19" spans="1:5" x14ac:dyDescent="0.3">
      <c r="A19" s="17">
        <v>31</v>
      </c>
      <c r="B19" s="1" t="s">
        <v>52</v>
      </c>
      <c r="C19" s="1">
        <v>53</v>
      </c>
      <c r="D19" s="1" t="s">
        <v>60</v>
      </c>
      <c r="E19" s="8">
        <v>5457</v>
      </c>
    </row>
    <row r="20" spans="1:5" x14ac:dyDescent="0.3">
      <c r="A20" s="17">
        <v>31</v>
      </c>
      <c r="B20" s="1" t="s">
        <v>52</v>
      </c>
      <c r="C20" s="1">
        <v>61</v>
      </c>
      <c r="D20" s="1" t="s">
        <v>61</v>
      </c>
      <c r="E20" s="8">
        <v>4620</v>
      </c>
    </row>
    <row r="21" spans="1:5" x14ac:dyDescent="0.3">
      <c r="A21" s="17">
        <v>31</v>
      </c>
      <c r="B21" s="1" t="s">
        <v>52</v>
      </c>
      <c r="C21" s="1">
        <v>62</v>
      </c>
      <c r="D21" s="1" t="s">
        <v>62</v>
      </c>
      <c r="E21" s="8">
        <v>1530</v>
      </c>
    </row>
    <row r="22" spans="1:5" x14ac:dyDescent="0.3">
      <c r="A22" s="17">
        <v>31</v>
      </c>
      <c r="B22" s="1" t="s">
        <v>52</v>
      </c>
      <c r="C22" s="1">
        <v>63</v>
      </c>
      <c r="D22" s="1" t="s">
        <v>63</v>
      </c>
      <c r="E22" s="8">
        <v>1237</v>
      </c>
    </row>
    <row r="23" spans="1:5" x14ac:dyDescent="0.3">
      <c r="A23" s="17">
        <v>31</v>
      </c>
      <c r="B23" s="1" t="s">
        <v>52</v>
      </c>
      <c r="C23" s="1">
        <v>64</v>
      </c>
      <c r="D23" s="1" t="s">
        <v>64</v>
      </c>
      <c r="E23" s="8">
        <v>3475</v>
      </c>
    </row>
    <row r="24" spans="1:5" x14ac:dyDescent="0.3">
      <c r="A24" s="17">
        <v>31</v>
      </c>
      <c r="B24" s="1" t="s">
        <v>52</v>
      </c>
      <c r="C24" s="1">
        <v>65</v>
      </c>
      <c r="D24" s="1" t="s">
        <v>65</v>
      </c>
      <c r="E24" s="8">
        <v>453</v>
      </c>
    </row>
    <row r="25" spans="1:5" x14ac:dyDescent="0.3">
      <c r="A25" s="17">
        <v>31</v>
      </c>
      <c r="B25" s="1" t="s">
        <v>52</v>
      </c>
      <c r="C25" s="1">
        <v>71</v>
      </c>
      <c r="D25" s="1" t="s">
        <v>66</v>
      </c>
      <c r="E25" s="8">
        <v>2596</v>
      </c>
    </row>
    <row r="26" spans="1:5" x14ac:dyDescent="0.3">
      <c r="A26" s="17">
        <v>31</v>
      </c>
      <c r="B26" s="1" t="s">
        <v>52</v>
      </c>
      <c r="C26" s="1">
        <v>72</v>
      </c>
      <c r="D26" s="1" t="s">
        <v>67</v>
      </c>
      <c r="E26" s="8">
        <v>1033</v>
      </c>
    </row>
    <row r="27" spans="1:5" x14ac:dyDescent="0.3">
      <c r="A27" s="17">
        <v>31</v>
      </c>
      <c r="B27" s="1" t="s">
        <v>52</v>
      </c>
      <c r="C27" s="1">
        <v>73</v>
      </c>
      <c r="D27" s="1" t="s">
        <v>68</v>
      </c>
      <c r="E27" s="8">
        <v>4428</v>
      </c>
    </row>
    <row r="28" spans="1:5" x14ac:dyDescent="0.3">
      <c r="A28" s="17">
        <v>31</v>
      </c>
      <c r="B28" s="1" t="s">
        <v>52</v>
      </c>
      <c r="C28" s="1">
        <v>74</v>
      </c>
      <c r="D28" s="1" t="s">
        <v>69</v>
      </c>
      <c r="E28" s="8">
        <v>1383</v>
      </c>
    </row>
    <row r="29" spans="1:5" x14ac:dyDescent="0.3">
      <c r="A29" s="17">
        <v>31</v>
      </c>
      <c r="B29" s="1" t="s">
        <v>52</v>
      </c>
      <c r="C29" s="1">
        <v>75</v>
      </c>
      <c r="D29" s="1" t="s">
        <v>70</v>
      </c>
      <c r="E29" s="8">
        <v>533</v>
      </c>
    </row>
    <row r="30" spans="1:5" x14ac:dyDescent="0.3">
      <c r="A30" s="17">
        <v>31</v>
      </c>
      <c r="B30" s="1" t="s">
        <v>52</v>
      </c>
      <c r="C30" s="1">
        <v>76</v>
      </c>
      <c r="D30" s="1" t="s">
        <v>71</v>
      </c>
      <c r="E30" s="8">
        <v>335</v>
      </c>
    </row>
    <row r="31" spans="1:5" x14ac:dyDescent="0.3">
      <c r="A31" s="17">
        <v>31</v>
      </c>
      <c r="B31" s="1" t="s">
        <v>52</v>
      </c>
      <c r="C31" s="1">
        <v>81</v>
      </c>
      <c r="D31" s="1" t="s">
        <v>72</v>
      </c>
      <c r="E31" s="8">
        <v>1417</v>
      </c>
    </row>
    <row r="32" spans="1:5" x14ac:dyDescent="0.3">
      <c r="A32" s="17">
        <v>31</v>
      </c>
      <c r="B32" s="1" t="s">
        <v>52</v>
      </c>
      <c r="C32" s="1">
        <v>82</v>
      </c>
      <c r="D32" s="1" t="s">
        <v>73</v>
      </c>
      <c r="E32" s="8">
        <v>480</v>
      </c>
    </row>
    <row r="33" spans="1:5" x14ac:dyDescent="0.3">
      <c r="A33" s="17">
        <v>31</v>
      </c>
      <c r="B33" s="1" t="s">
        <v>52</v>
      </c>
      <c r="C33" s="1">
        <v>91</v>
      </c>
      <c r="D33" s="1" t="s">
        <v>74</v>
      </c>
      <c r="E33" s="8">
        <v>969</v>
      </c>
    </row>
    <row r="34" spans="1:5" x14ac:dyDescent="0.3">
      <c r="A34" s="19">
        <v>31</v>
      </c>
      <c r="B34" s="20" t="s">
        <v>52</v>
      </c>
      <c r="C34" s="20">
        <v>93</v>
      </c>
      <c r="D34" s="20" t="s">
        <v>75</v>
      </c>
      <c r="E34" s="11">
        <v>1095</v>
      </c>
    </row>
    <row r="35" spans="1:5" x14ac:dyDescent="0.3">
      <c r="A35" s="19">
        <v>11</v>
      </c>
      <c r="B35" s="20" t="s">
        <v>42</v>
      </c>
      <c r="C35" s="20">
        <v>31</v>
      </c>
      <c r="D35" s="20" t="s">
        <v>52</v>
      </c>
      <c r="E35" s="11">
        <v>949</v>
      </c>
    </row>
    <row r="36" spans="1:5" x14ac:dyDescent="0.3">
      <c r="A36" s="19">
        <v>12</v>
      </c>
      <c r="B36" s="20" t="s">
        <v>43</v>
      </c>
      <c r="C36" s="20">
        <v>31</v>
      </c>
      <c r="D36" s="20" t="s">
        <v>52</v>
      </c>
      <c r="E36" s="11">
        <v>8108</v>
      </c>
    </row>
    <row r="37" spans="1:5" x14ac:dyDescent="0.3">
      <c r="A37" s="19">
        <v>13</v>
      </c>
      <c r="B37" s="20" t="s">
        <v>44</v>
      </c>
      <c r="C37" s="20">
        <v>31</v>
      </c>
      <c r="D37" s="20" t="s">
        <v>52</v>
      </c>
      <c r="E37" s="11">
        <v>5040</v>
      </c>
    </row>
    <row r="38" spans="1:5" x14ac:dyDescent="0.3">
      <c r="A38" s="19">
        <v>14</v>
      </c>
      <c r="B38" s="20" t="s">
        <v>45</v>
      </c>
      <c r="C38" s="20">
        <v>31</v>
      </c>
      <c r="D38" s="20" t="s">
        <v>52</v>
      </c>
      <c r="E38" s="11">
        <v>2317</v>
      </c>
    </row>
    <row r="39" spans="1:5" x14ac:dyDescent="0.3">
      <c r="A39" s="19">
        <v>15</v>
      </c>
      <c r="B39" s="20" t="s">
        <v>46</v>
      </c>
      <c r="C39" s="20">
        <v>31</v>
      </c>
      <c r="D39" s="20" t="s">
        <v>52</v>
      </c>
      <c r="E39" s="11">
        <v>892</v>
      </c>
    </row>
    <row r="40" spans="1:5" x14ac:dyDescent="0.3">
      <c r="A40" s="19">
        <v>16</v>
      </c>
      <c r="B40" s="20" t="s">
        <v>47</v>
      </c>
      <c r="C40" s="20">
        <v>31</v>
      </c>
      <c r="D40" s="20" t="s">
        <v>52</v>
      </c>
      <c r="E40" s="11">
        <v>3055</v>
      </c>
    </row>
    <row r="41" spans="1:5" x14ac:dyDescent="0.3">
      <c r="A41" s="19">
        <v>17</v>
      </c>
      <c r="B41" s="20" t="s">
        <v>48</v>
      </c>
      <c r="C41" s="20">
        <v>31</v>
      </c>
      <c r="D41" s="20" t="s">
        <v>52</v>
      </c>
      <c r="E41" s="11">
        <v>298</v>
      </c>
    </row>
    <row r="42" spans="1:5" x14ac:dyDescent="0.3">
      <c r="A42" s="19">
        <v>18</v>
      </c>
      <c r="B42" s="20" t="s">
        <v>49</v>
      </c>
      <c r="C42" s="20">
        <v>31</v>
      </c>
      <c r="D42" s="20" t="s">
        <v>52</v>
      </c>
      <c r="E42" s="11">
        <v>6189</v>
      </c>
    </row>
    <row r="43" spans="1:5" x14ac:dyDescent="0.3">
      <c r="A43" s="19">
        <v>19</v>
      </c>
      <c r="B43" s="20" t="s">
        <v>50</v>
      </c>
      <c r="C43" s="20">
        <v>31</v>
      </c>
      <c r="D43" s="20" t="s">
        <v>52</v>
      </c>
      <c r="E43" s="11">
        <v>708</v>
      </c>
    </row>
    <row r="44" spans="1:5" x14ac:dyDescent="0.3">
      <c r="A44" s="19">
        <v>21</v>
      </c>
      <c r="B44" s="20" t="s">
        <v>51</v>
      </c>
      <c r="C44" s="20">
        <v>31</v>
      </c>
      <c r="D44" s="20" t="s">
        <v>52</v>
      </c>
      <c r="E44" s="11">
        <v>933</v>
      </c>
    </row>
    <row r="45" spans="1:5" x14ac:dyDescent="0.3">
      <c r="A45" s="19">
        <v>32</v>
      </c>
      <c r="B45" s="20" t="s">
        <v>53</v>
      </c>
      <c r="C45" s="20">
        <v>31</v>
      </c>
      <c r="D45" s="20" t="s">
        <v>52</v>
      </c>
      <c r="E45" s="11">
        <v>76296</v>
      </c>
    </row>
    <row r="46" spans="1:5" x14ac:dyDescent="0.3">
      <c r="A46" s="19">
        <v>33</v>
      </c>
      <c r="B46" s="20" t="s">
        <v>54</v>
      </c>
      <c r="C46" s="20">
        <v>31</v>
      </c>
      <c r="D46" s="20" t="s">
        <v>52</v>
      </c>
      <c r="E46" s="11">
        <v>48201</v>
      </c>
    </row>
    <row r="47" spans="1:5" x14ac:dyDescent="0.3">
      <c r="A47" s="19">
        <v>34</v>
      </c>
      <c r="B47" s="20" t="s">
        <v>55</v>
      </c>
      <c r="C47" s="20">
        <v>31</v>
      </c>
      <c r="D47" s="20" t="s">
        <v>52</v>
      </c>
      <c r="E47" s="11">
        <v>3861</v>
      </c>
    </row>
    <row r="48" spans="1:5" x14ac:dyDescent="0.3">
      <c r="A48" s="19">
        <v>35</v>
      </c>
      <c r="B48" s="20" t="s">
        <v>56</v>
      </c>
      <c r="C48" s="20">
        <v>31</v>
      </c>
      <c r="D48" s="20" t="s">
        <v>52</v>
      </c>
      <c r="E48" s="11">
        <v>16879</v>
      </c>
    </row>
    <row r="49" spans="1:5" x14ac:dyDescent="0.3">
      <c r="A49" s="19">
        <v>36</v>
      </c>
      <c r="B49" s="20" t="s">
        <v>57</v>
      </c>
      <c r="C49" s="20">
        <v>31</v>
      </c>
      <c r="D49" s="20" t="s">
        <v>52</v>
      </c>
      <c r="E49" s="11">
        <v>22916</v>
      </c>
    </row>
    <row r="50" spans="1:5" x14ac:dyDescent="0.3">
      <c r="A50" s="19">
        <v>51</v>
      </c>
      <c r="B50" s="20" t="s">
        <v>58</v>
      </c>
      <c r="C50" s="20">
        <v>31</v>
      </c>
      <c r="D50" s="20" t="s">
        <v>52</v>
      </c>
      <c r="E50" s="11">
        <v>1212</v>
      </c>
    </row>
    <row r="51" spans="1:5" x14ac:dyDescent="0.3">
      <c r="A51" s="19">
        <v>52</v>
      </c>
      <c r="B51" s="20" t="s">
        <v>59</v>
      </c>
      <c r="C51" s="20">
        <v>31</v>
      </c>
      <c r="D51" s="20" t="s">
        <v>52</v>
      </c>
      <c r="E51" s="11">
        <v>1137</v>
      </c>
    </row>
    <row r="52" spans="1:5" x14ac:dyDescent="0.3">
      <c r="A52" s="19">
        <v>53</v>
      </c>
      <c r="B52" s="20" t="s">
        <v>60</v>
      </c>
      <c r="C52" s="20">
        <v>31</v>
      </c>
      <c r="D52" s="20" t="s">
        <v>52</v>
      </c>
      <c r="E52" s="11">
        <v>1505</v>
      </c>
    </row>
    <row r="53" spans="1:5" x14ac:dyDescent="0.3">
      <c r="A53" s="19">
        <v>61</v>
      </c>
      <c r="B53" s="20" t="s">
        <v>61</v>
      </c>
      <c r="C53" s="20">
        <v>31</v>
      </c>
      <c r="D53" s="20" t="s">
        <v>52</v>
      </c>
      <c r="E53" s="11">
        <v>2270</v>
      </c>
    </row>
    <row r="54" spans="1:5" x14ac:dyDescent="0.3">
      <c r="A54" s="19">
        <v>62</v>
      </c>
      <c r="B54" s="20" t="s">
        <v>62</v>
      </c>
      <c r="C54" s="20">
        <v>31</v>
      </c>
      <c r="D54" s="20" t="s">
        <v>52</v>
      </c>
      <c r="E54" s="11">
        <v>355</v>
      </c>
    </row>
    <row r="55" spans="1:5" x14ac:dyDescent="0.3">
      <c r="A55" s="19">
        <v>63</v>
      </c>
      <c r="B55" s="20" t="s">
        <v>63</v>
      </c>
      <c r="C55" s="20">
        <v>31</v>
      </c>
      <c r="D55" s="20" t="s">
        <v>52</v>
      </c>
      <c r="E55" s="11">
        <v>835</v>
      </c>
    </row>
    <row r="56" spans="1:5" x14ac:dyDescent="0.3">
      <c r="A56" s="19">
        <v>64</v>
      </c>
      <c r="B56" s="20" t="s">
        <v>64</v>
      </c>
      <c r="C56" s="20">
        <v>31</v>
      </c>
      <c r="D56" s="20" t="s">
        <v>52</v>
      </c>
      <c r="E56" s="11">
        <v>688</v>
      </c>
    </row>
    <row r="57" spans="1:5" x14ac:dyDescent="0.3">
      <c r="A57" s="19">
        <v>65</v>
      </c>
      <c r="B57" s="20" t="s">
        <v>65</v>
      </c>
      <c r="C57" s="20">
        <v>31</v>
      </c>
      <c r="D57" s="20" t="s">
        <v>52</v>
      </c>
      <c r="E57" s="11">
        <v>0</v>
      </c>
    </row>
    <row r="58" spans="1:5" x14ac:dyDescent="0.3">
      <c r="A58" s="19">
        <v>71</v>
      </c>
      <c r="B58" s="20" t="s">
        <v>66</v>
      </c>
      <c r="C58" s="20">
        <v>31</v>
      </c>
      <c r="D58" s="20" t="s">
        <v>52</v>
      </c>
      <c r="E58" s="11">
        <v>618</v>
      </c>
    </row>
    <row r="59" spans="1:5" x14ac:dyDescent="0.3">
      <c r="A59" s="19">
        <v>72</v>
      </c>
      <c r="B59" s="20" t="s">
        <v>67</v>
      </c>
      <c r="C59" s="20">
        <v>31</v>
      </c>
      <c r="D59" s="20" t="s">
        <v>52</v>
      </c>
      <c r="E59" s="11">
        <v>35</v>
      </c>
    </row>
    <row r="60" spans="1:5" x14ac:dyDescent="0.3">
      <c r="A60" s="19">
        <v>73</v>
      </c>
      <c r="B60" s="20" t="s">
        <v>68</v>
      </c>
      <c r="C60" s="20">
        <v>31</v>
      </c>
      <c r="D60" s="20" t="s">
        <v>52</v>
      </c>
      <c r="E60" s="11">
        <v>2443</v>
      </c>
    </row>
    <row r="61" spans="1:5" x14ac:dyDescent="0.3">
      <c r="A61" s="19">
        <v>74</v>
      </c>
      <c r="B61" s="20" t="s">
        <v>69</v>
      </c>
      <c r="C61" s="20">
        <v>31</v>
      </c>
      <c r="D61" s="20" t="s">
        <v>52</v>
      </c>
      <c r="E61" s="11">
        <v>112</v>
      </c>
    </row>
    <row r="62" spans="1:5" x14ac:dyDescent="0.3">
      <c r="A62" s="19">
        <v>75</v>
      </c>
      <c r="B62" s="20" t="s">
        <v>70</v>
      </c>
      <c r="C62" s="20">
        <v>31</v>
      </c>
      <c r="D62" s="20" t="s">
        <v>52</v>
      </c>
      <c r="E62" s="11">
        <v>135</v>
      </c>
    </row>
    <row r="63" spans="1:5" x14ac:dyDescent="0.3">
      <c r="A63" s="19">
        <v>76</v>
      </c>
      <c r="B63" s="20" t="s">
        <v>71</v>
      </c>
      <c r="C63" s="20">
        <v>31</v>
      </c>
      <c r="D63" s="20" t="s">
        <v>52</v>
      </c>
      <c r="E63" s="11">
        <v>39</v>
      </c>
    </row>
    <row r="64" spans="1:5" x14ac:dyDescent="0.3">
      <c r="A64" s="19">
        <v>81</v>
      </c>
      <c r="B64" s="20" t="s">
        <v>72</v>
      </c>
      <c r="C64" s="20">
        <v>31</v>
      </c>
      <c r="D64" s="20" t="s">
        <v>52</v>
      </c>
      <c r="E64" s="11">
        <v>616</v>
      </c>
    </row>
    <row r="65" spans="1:5" x14ac:dyDescent="0.3">
      <c r="A65" s="19">
        <v>82</v>
      </c>
      <c r="B65" s="20" t="s">
        <v>73</v>
      </c>
      <c r="C65" s="20">
        <v>31</v>
      </c>
      <c r="D65" s="20" t="s">
        <v>52</v>
      </c>
      <c r="E65" s="11">
        <v>242</v>
      </c>
    </row>
    <row r="66" spans="1:5" x14ac:dyDescent="0.3">
      <c r="A66" s="19">
        <v>91</v>
      </c>
      <c r="B66" s="20" t="s">
        <v>74</v>
      </c>
      <c r="C66" s="20">
        <v>31</v>
      </c>
      <c r="D66" s="20" t="s">
        <v>52</v>
      </c>
      <c r="E66" s="11">
        <v>122</v>
      </c>
    </row>
    <row r="67" spans="1:5" x14ac:dyDescent="0.3">
      <c r="A67" s="19">
        <v>93</v>
      </c>
      <c r="B67" s="20" t="s">
        <v>75</v>
      </c>
      <c r="C67" s="20">
        <v>31</v>
      </c>
      <c r="D67" s="20" t="s">
        <v>52</v>
      </c>
      <c r="E67" s="11">
        <v>862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7"/>
  <sheetViews>
    <sheetView workbookViewId="0">
      <pane ySplit="1" topLeftCell="A2" activePane="bottomLeft" state="frozen"/>
      <selection pane="bottomLeft" activeCell="H29" sqref="H29"/>
    </sheetView>
  </sheetViews>
  <sheetFormatPr defaultRowHeight="14.4" x14ac:dyDescent="0.3"/>
  <cols>
    <col min="1" max="1" width="14" customWidth="1"/>
    <col min="2" max="2" width="25" customWidth="1"/>
    <col min="3" max="3" width="14.109375" customWidth="1"/>
    <col min="4" max="4" width="25" customWidth="1"/>
    <col min="5" max="5" width="18" customWidth="1"/>
    <col min="6" max="6" width="20" customWidth="1"/>
  </cols>
  <sheetData>
    <row r="1" spans="1:6" x14ac:dyDescent="0.3">
      <c r="A1" s="24" t="s">
        <v>714</v>
      </c>
      <c r="B1" s="25" t="s">
        <v>713</v>
      </c>
      <c r="C1" s="25" t="s">
        <v>712</v>
      </c>
      <c r="D1" s="25" t="s">
        <v>711</v>
      </c>
      <c r="E1" s="25" t="s">
        <v>709</v>
      </c>
      <c r="F1" s="23" t="s">
        <v>710</v>
      </c>
    </row>
    <row r="2" spans="1:6" x14ac:dyDescent="0.3">
      <c r="A2" s="17">
        <v>31</v>
      </c>
      <c r="B2" s="1" t="s">
        <v>52</v>
      </c>
      <c r="C2" s="1">
        <v>11</v>
      </c>
      <c r="D2" s="1" t="s">
        <v>42</v>
      </c>
      <c r="E2" s="8">
        <v>2000</v>
      </c>
      <c r="F2" s="18"/>
    </row>
    <row r="3" spans="1:6" x14ac:dyDescent="0.3">
      <c r="A3" s="17">
        <v>31</v>
      </c>
      <c r="B3" s="1" t="s">
        <v>52</v>
      </c>
      <c r="C3" s="1">
        <v>12</v>
      </c>
      <c r="D3" s="1" t="s">
        <v>43</v>
      </c>
      <c r="E3" s="8">
        <v>19064</v>
      </c>
      <c r="F3" s="18"/>
    </row>
    <row r="4" spans="1:6" x14ac:dyDescent="0.3">
      <c r="A4" s="17">
        <v>31</v>
      </c>
      <c r="B4" s="1" t="s">
        <v>52</v>
      </c>
      <c r="C4" s="1">
        <v>13</v>
      </c>
      <c r="D4" s="1" t="s">
        <v>44</v>
      </c>
      <c r="E4" s="8">
        <v>22428</v>
      </c>
      <c r="F4" s="18"/>
    </row>
    <row r="5" spans="1:6" x14ac:dyDescent="0.3">
      <c r="A5" s="17">
        <v>31</v>
      </c>
      <c r="B5" s="1" t="s">
        <v>52</v>
      </c>
      <c r="C5" s="1">
        <v>14</v>
      </c>
      <c r="D5" s="1" t="s">
        <v>45</v>
      </c>
      <c r="E5" s="8">
        <v>2643</v>
      </c>
      <c r="F5" s="18"/>
    </row>
    <row r="6" spans="1:6" x14ac:dyDescent="0.3">
      <c r="A6" s="17">
        <v>31</v>
      </c>
      <c r="B6" s="1" t="s">
        <v>52</v>
      </c>
      <c r="C6" s="1">
        <v>15</v>
      </c>
      <c r="D6" s="1" t="s">
        <v>46</v>
      </c>
      <c r="E6" s="8">
        <v>1670</v>
      </c>
      <c r="F6" s="18"/>
    </row>
    <row r="7" spans="1:6" x14ac:dyDescent="0.3">
      <c r="A7" s="17">
        <v>31</v>
      </c>
      <c r="B7" s="1" t="s">
        <v>52</v>
      </c>
      <c r="C7" s="1">
        <v>16</v>
      </c>
      <c r="D7" s="1" t="s">
        <v>47</v>
      </c>
      <c r="E7" s="8">
        <v>5757</v>
      </c>
      <c r="F7" s="18"/>
    </row>
    <row r="8" spans="1:6" x14ac:dyDescent="0.3">
      <c r="A8" s="17">
        <v>31</v>
      </c>
      <c r="B8" s="1" t="s">
        <v>52</v>
      </c>
      <c r="C8" s="1">
        <v>17</v>
      </c>
      <c r="D8" s="1" t="s">
        <v>48</v>
      </c>
      <c r="E8" s="8">
        <v>2108</v>
      </c>
      <c r="F8" s="18"/>
    </row>
    <row r="9" spans="1:6" x14ac:dyDescent="0.3">
      <c r="A9" s="17">
        <v>31</v>
      </c>
      <c r="B9" s="1" t="s">
        <v>52</v>
      </c>
      <c r="C9" s="1">
        <v>18</v>
      </c>
      <c r="D9" s="1" t="s">
        <v>49</v>
      </c>
      <c r="E9" s="8">
        <v>18517</v>
      </c>
      <c r="F9" s="18"/>
    </row>
    <row r="10" spans="1:6" x14ac:dyDescent="0.3">
      <c r="A10" s="17">
        <v>31</v>
      </c>
      <c r="B10" s="1" t="s">
        <v>52</v>
      </c>
      <c r="C10" s="1">
        <v>19</v>
      </c>
      <c r="D10" s="1" t="s">
        <v>50</v>
      </c>
      <c r="E10" s="8">
        <v>3638</v>
      </c>
      <c r="F10" s="18"/>
    </row>
    <row r="11" spans="1:6" x14ac:dyDescent="0.3">
      <c r="A11" s="17">
        <v>31</v>
      </c>
      <c r="B11" s="1" t="s">
        <v>52</v>
      </c>
      <c r="C11" s="1">
        <v>21</v>
      </c>
      <c r="D11" s="1" t="s">
        <v>51</v>
      </c>
      <c r="E11" s="8">
        <v>3380</v>
      </c>
      <c r="F11" s="18"/>
    </row>
    <row r="12" spans="1:6" x14ac:dyDescent="0.3">
      <c r="A12" s="17">
        <v>31</v>
      </c>
      <c r="B12" s="1" t="s">
        <v>52</v>
      </c>
      <c r="C12" s="1">
        <v>32</v>
      </c>
      <c r="D12" s="1" t="s">
        <v>53</v>
      </c>
      <c r="E12" s="8">
        <v>339634</v>
      </c>
      <c r="F12" s="18"/>
    </row>
    <row r="13" spans="1:6" x14ac:dyDescent="0.3">
      <c r="A13" s="17">
        <v>31</v>
      </c>
      <c r="B13" s="1" t="s">
        <v>52</v>
      </c>
      <c r="C13" s="1">
        <v>33</v>
      </c>
      <c r="D13" s="1" t="s">
        <v>54</v>
      </c>
      <c r="E13" s="8">
        <v>188939</v>
      </c>
      <c r="F13" s="18"/>
    </row>
    <row r="14" spans="1:6" x14ac:dyDescent="0.3">
      <c r="A14" s="17">
        <v>31</v>
      </c>
      <c r="B14" s="1" t="s">
        <v>52</v>
      </c>
      <c r="C14" s="1">
        <v>34</v>
      </c>
      <c r="D14" s="1" t="s">
        <v>55</v>
      </c>
      <c r="E14" s="8">
        <v>15291</v>
      </c>
      <c r="F14" s="18"/>
    </row>
    <row r="15" spans="1:6" x14ac:dyDescent="0.3">
      <c r="A15" s="17">
        <v>31</v>
      </c>
      <c r="B15" s="1" t="s">
        <v>52</v>
      </c>
      <c r="C15" s="1">
        <v>35</v>
      </c>
      <c r="D15" s="1" t="s">
        <v>56</v>
      </c>
      <c r="E15" s="8">
        <v>31387</v>
      </c>
      <c r="F15" s="18"/>
    </row>
    <row r="16" spans="1:6" x14ac:dyDescent="0.3">
      <c r="A16" s="17">
        <v>31</v>
      </c>
      <c r="B16" s="1" t="s">
        <v>52</v>
      </c>
      <c r="C16" s="1">
        <v>36</v>
      </c>
      <c r="D16" s="1" t="s">
        <v>57</v>
      </c>
      <c r="E16" s="8">
        <v>103105</v>
      </c>
      <c r="F16" s="18"/>
    </row>
    <row r="17" spans="1:6" x14ac:dyDescent="0.3">
      <c r="A17" s="17">
        <v>31</v>
      </c>
      <c r="B17" s="1" t="s">
        <v>52</v>
      </c>
      <c r="C17" s="1">
        <v>51</v>
      </c>
      <c r="D17" s="1" t="s">
        <v>58</v>
      </c>
      <c r="E17" s="8">
        <v>2897</v>
      </c>
      <c r="F17" s="18"/>
    </row>
    <row r="18" spans="1:6" x14ac:dyDescent="0.3">
      <c r="A18" s="17">
        <v>31</v>
      </c>
      <c r="B18" s="1" t="s">
        <v>52</v>
      </c>
      <c r="C18" s="1">
        <v>52</v>
      </c>
      <c r="D18" s="1" t="s">
        <v>59</v>
      </c>
      <c r="E18" s="8">
        <v>3969</v>
      </c>
      <c r="F18" s="18"/>
    </row>
    <row r="19" spans="1:6" x14ac:dyDescent="0.3">
      <c r="A19" s="17">
        <v>31</v>
      </c>
      <c r="B19" s="1" t="s">
        <v>52</v>
      </c>
      <c r="C19" s="1">
        <v>53</v>
      </c>
      <c r="D19" s="1" t="s">
        <v>60</v>
      </c>
      <c r="E19" s="8">
        <v>5457</v>
      </c>
      <c r="F19" s="18"/>
    </row>
    <row r="20" spans="1:6" x14ac:dyDescent="0.3">
      <c r="A20" s="17">
        <v>31</v>
      </c>
      <c r="B20" s="1" t="s">
        <v>52</v>
      </c>
      <c r="C20" s="1">
        <v>61</v>
      </c>
      <c r="D20" s="1" t="s">
        <v>61</v>
      </c>
      <c r="E20" s="8">
        <v>4620</v>
      </c>
      <c r="F20" s="18"/>
    </row>
    <row r="21" spans="1:6" x14ac:dyDescent="0.3">
      <c r="A21" s="17">
        <v>31</v>
      </c>
      <c r="B21" s="1" t="s">
        <v>52</v>
      </c>
      <c r="C21" s="1">
        <v>62</v>
      </c>
      <c r="D21" s="1" t="s">
        <v>62</v>
      </c>
      <c r="E21" s="8">
        <v>1530</v>
      </c>
      <c r="F21" s="18"/>
    </row>
    <row r="22" spans="1:6" x14ac:dyDescent="0.3">
      <c r="A22" s="17">
        <v>31</v>
      </c>
      <c r="B22" s="1" t="s">
        <v>52</v>
      </c>
      <c r="C22" s="1">
        <v>63</v>
      </c>
      <c r="D22" s="1" t="s">
        <v>63</v>
      </c>
      <c r="E22" s="8">
        <v>1237</v>
      </c>
      <c r="F22" s="18"/>
    </row>
    <row r="23" spans="1:6" x14ac:dyDescent="0.3">
      <c r="A23" s="17">
        <v>31</v>
      </c>
      <c r="B23" s="1" t="s">
        <v>52</v>
      </c>
      <c r="C23" s="1">
        <v>64</v>
      </c>
      <c r="D23" s="1" t="s">
        <v>64</v>
      </c>
      <c r="E23" s="8">
        <v>3475</v>
      </c>
      <c r="F23" s="18"/>
    </row>
    <row r="24" spans="1:6" x14ac:dyDescent="0.3">
      <c r="A24" s="17">
        <v>31</v>
      </c>
      <c r="B24" s="1" t="s">
        <v>52</v>
      </c>
      <c r="C24" s="1">
        <v>65</v>
      </c>
      <c r="D24" s="1" t="s">
        <v>65</v>
      </c>
      <c r="E24" s="8">
        <v>453</v>
      </c>
      <c r="F24" s="18"/>
    </row>
    <row r="25" spans="1:6" x14ac:dyDescent="0.3">
      <c r="A25" s="17">
        <v>31</v>
      </c>
      <c r="B25" s="1" t="s">
        <v>52</v>
      </c>
      <c r="C25" s="1">
        <v>71</v>
      </c>
      <c r="D25" s="1" t="s">
        <v>66</v>
      </c>
      <c r="E25" s="8">
        <v>2596</v>
      </c>
      <c r="F25" s="18"/>
    </row>
    <row r="26" spans="1:6" x14ac:dyDescent="0.3">
      <c r="A26" s="17">
        <v>31</v>
      </c>
      <c r="B26" s="1" t="s">
        <v>52</v>
      </c>
      <c r="C26" s="1">
        <v>72</v>
      </c>
      <c r="D26" s="1" t="s">
        <v>67</v>
      </c>
      <c r="E26" s="8">
        <v>1033</v>
      </c>
      <c r="F26" s="18"/>
    </row>
    <row r="27" spans="1:6" x14ac:dyDescent="0.3">
      <c r="A27" s="17">
        <v>31</v>
      </c>
      <c r="B27" s="1" t="s">
        <v>52</v>
      </c>
      <c r="C27" s="1">
        <v>73</v>
      </c>
      <c r="D27" s="1" t="s">
        <v>68</v>
      </c>
      <c r="E27" s="8">
        <v>4428</v>
      </c>
      <c r="F27" s="18"/>
    </row>
    <row r="28" spans="1:6" x14ac:dyDescent="0.3">
      <c r="A28" s="17">
        <v>31</v>
      </c>
      <c r="B28" s="1" t="s">
        <v>52</v>
      </c>
      <c r="C28" s="1">
        <v>74</v>
      </c>
      <c r="D28" s="1" t="s">
        <v>69</v>
      </c>
      <c r="E28" s="8">
        <v>1383</v>
      </c>
      <c r="F28" s="18"/>
    </row>
    <row r="29" spans="1:6" x14ac:dyDescent="0.3">
      <c r="A29" s="17">
        <v>31</v>
      </c>
      <c r="B29" s="1" t="s">
        <v>52</v>
      </c>
      <c r="C29" s="1">
        <v>75</v>
      </c>
      <c r="D29" s="1" t="s">
        <v>70</v>
      </c>
      <c r="E29" s="8">
        <v>533</v>
      </c>
      <c r="F29" s="18"/>
    </row>
    <row r="30" spans="1:6" x14ac:dyDescent="0.3">
      <c r="A30" s="17">
        <v>31</v>
      </c>
      <c r="B30" s="1" t="s">
        <v>52</v>
      </c>
      <c r="C30" s="1">
        <v>76</v>
      </c>
      <c r="D30" s="1" t="s">
        <v>71</v>
      </c>
      <c r="E30" s="8">
        <v>335</v>
      </c>
      <c r="F30" s="18"/>
    </row>
    <row r="31" spans="1:6" x14ac:dyDescent="0.3">
      <c r="A31" s="17">
        <v>31</v>
      </c>
      <c r="B31" s="1" t="s">
        <v>52</v>
      </c>
      <c r="C31" s="1">
        <v>81</v>
      </c>
      <c r="D31" s="1" t="s">
        <v>72</v>
      </c>
      <c r="E31" s="8">
        <v>1417</v>
      </c>
      <c r="F31" s="18"/>
    </row>
    <row r="32" spans="1:6" x14ac:dyDescent="0.3">
      <c r="A32" s="17">
        <v>31</v>
      </c>
      <c r="B32" s="1" t="s">
        <v>52</v>
      </c>
      <c r="C32" s="1">
        <v>82</v>
      </c>
      <c r="D32" s="1" t="s">
        <v>73</v>
      </c>
      <c r="E32" s="8">
        <v>480</v>
      </c>
      <c r="F32" s="18"/>
    </row>
    <row r="33" spans="1:6" x14ac:dyDescent="0.3">
      <c r="A33" s="17">
        <v>31</v>
      </c>
      <c r="B33" s="1" t="s">
        <v>52</v>
      </c>
      <c r="C33" s="1">
        <v>91</v>
      </c>
      <c r="D33" s="1" t="s">
        <v>74</v>
      </c>
      <c r="E33" s="8">
        <v>969</v>
      </c>
      <c r="F33" s="18"/>
    </row>
    <row r="34" spans="1:6" x14ac:dyDescent="0.3">
      <c r="A34" s="19">
        <v>31</v>
      </c>
      <c r="B34" s="20" t="s">
        <v>52</v>
      </c>
      <c r="C34" s="20">
        <v>93</v>
      </c>
      <c r="D34" s="20" t="s">
        <v>75</v>
      </c>
      <c r="E34" s="11">
        <v>1095</v>
      </c>
      <c r="F34" s="18"/>
    </row>
    <row r="35" spans="1:6" x14ac:dyDescent="0.3">
      <c r="A35" s="19">
        <v>11</v>
      </c>
      <c r="B35" s="20" t="s">
        <v>42</v>
      </c>
      <c r="C35" s="20">
        <v>31</v>
      </c>
      <c r="D35" s="20" t="s">
        <v>52</v>
      </c>
      <c r="E35" s="11">
        <v>949</v>
      </c>
      <c r="F35" s="18"/>
    </row>
    <row r="36" spans="1:6" x14ac:dyDescent="0.3">
      <c r="A36" s="19">
        <v>12</v>
      </c>
      <c r="B36" s="20" t="s">
        <v>43</v>
      </c>
      <c r="C36" s="20">
        <v>31</v>
      </c>
      <c r="D36" s="20" t="s">
        <v>52</v>
      </c>
      <c r="E36" s="11">
        <v>8108</v>
      </c>
      <c r="F36" s="18"/>
    </row>
    <row r="37" spans="1:6" x14ac:dyDescent="0.3">
      <c r="A37" s="19">
        <v>13</v>
      </c>
      <c r="B37" s="20" t="s">
        <v>44</v>
      </c>
      <c r="C37" s="20">
        <v>31</v>
      </c>
      <c r="D37" s="20" t="s">
        <v>52</v>
      </c>
      <c r="E37" s="11">
        <v>5040</v>
      </c>
      <c r="F37" s="18"/>
    </row>
    <row r="38" spans="1:6" x14ac:dyDescent="0.3">
      <c r="A38" s="19">
        <v>14</v>
      </c>
      <c r="B38" s="20" t="s">
        <v>45</v>
      </c>
      <c r="C38" s="20">
        <v>31</v>
      </c>
      <c r="D38" s="20" t="s">
        <v>52</v>
      </c>
      <c r="E38" s="11">
        <v>2317</v>
      </c>
      <c r="F38" s="21"/>
    </row>
    <row r="39" spans="1:6" x14ac:dyDescent="0.3">
      <c r="A39" s="19">
        <v>15</v>
      </c>
      <c r="B39" s="20" t="s">
        <v>46</v>
      </c>
      <c r="C39" s="20">
        <v>31</v>
      </c>
      <c r="D39" s="20" t="s">
        <v>52</v>
      </c>
      <c r="E39" s="11">
        <v>892</v>
      </c>
      <c r="F39" s="18"/>
    </row>
    <row r="40" spans="1:6" x14ac:dyDescent="0.3">
      <c r="A40" s="19">
        <v>16</v>
      </c>
      <c r="B40" s="20" t="s">
        <v>47</v>
      </c>
      <c r="C40" s="20">
        <v>31</v>
      </c>
      <c r="D40" s="20" t="s">
        <v>52</v>
      </c>
      <c r="E40" s="11">
        <v>3055</v>
      </c>
      <c r="F40" s="18"/>
    </row>
    <row r="41" spans="1:6" x14ac:dyDescent="0.3">
      <c r="A41" s="19">
        <v>17</v>
      </c>
      <c r="B41" s="20" t="s">
        <v>48</v>
      </c>
      <c r="C41" s="20">
        <v>31</v>
      </c>
      <c r="D41" s="20" t="s">
        <v>52</v>
      </c>
      <c r="E41" s="11">
        <v>298</v>
      </c>
      <c r="F41" s="18"/>
    </row>
    <row r="42" spans="1:6" x14ac:dyDescent="0.3">
      <c r="A42" s="19">
        <v>18</v>
      </c>
      <c r="B42" s="20" t="s">
        <v>49</v>
      </c>
      <c r="C42" s="20">
        <v>31</v>
      </c>
      <c r="D42" s="20" t="s">
        <v>52</v>
      </c>
      <c r="E42" s="11">
        <v>6189</v>
      </c>
      <c r="F42" s="18"/>
    </row>
    <row r="43" spans="1:6" x14ac:dyDescent="0.3">
      <c r="A43" s="19">
        <v>19</v>
      </c>
      <c r="B43" s="20" t="s">
        <v>50</v>
      </c>
      <c r="C43" s="20">
        <v>31</v>
      </c>
      <c r="D43" s="20" t="s">
        <v>52</v>
      </c>
      <c r="E43" s="11">
        <v>708</v>
      </c>
      <c r="F43" s="18"/>
    </row>
    <row r="44" spans="1:6" x14ac:dyDescent="0.3">
      <c r="A44" s="19">
        <v>21</v>
      </c>
      <c r="B44" s="20" t="s">
        <v>51</v>
      </c>
      <c r="C44" s="20">
        <v>31</v>
      </c>
      <c r="D44" s="20" t="s">
        <v>52</v>
      </c>
      <c r="E44" s="11">
        <v>933</v>
      </c>
      <c r="F44" s="18"/>
    </row>
    <row r="45" spans="1:6" x14ac:dyDescent="0.3">
      <c r="A45" s="19">
        <v>32</v>
      </c>
      <c r="B45" s="20" t="s">
        <v>53</v>
      </c>
      <c r="C45" s="20">
        <v>31</v>
      </c>
      <c r="D45" s="20" t="s">
        <v>52</v>
      </c>
      <c r="E45" s="11">
        <v>76296</v>
      </c>
      <c r="F45" s="18"/>
    </row>
    <row r="46" spans="1:6" x14ac:dyDescent="0.3">
      <c r="A46" s="19">
        <v>33</v>
      </c>
      <c r="B46" s="20" t="s">
        <v>54</v>
      </c>
      <c r="C46" s="20">
        <v>31</v>
      </c>
      <c r="D46" s="20" t="s">
        <v>52</v>
      </c>
      <c r="E46" s="11">
        <v>48201</v>
      </c>
      <c r="F46" s="18"/>
    </row>
    <row r="47" spans="1:6" x14ac:dyDescent="0.3">
      <c r="A47" s="19">
        <v>34</v>
      </c>
      <c r="B47" s="20" t="s">
        <v>55</v>
      </c>
      <c r="C47" s="20">
        <v>31</v>
      </c>
      <c r="D47" s="20" t="s">
        <v>52</v>
      </c>
      <c r="E47" s="11">
        <v>3861</v>
      </c>
      <c r="F47" s="18"/>
    </row>
    <row r="48" spans="1:6" x14ac:dyDescent="0.3">
      <c r="A48" s="19">
        <v>35</v>
      </c>
      <c r="B48" s="20" t="s">
        <v>56</v>
      </c>
      <c r="C48" s="20">
        <v>31</v>
      </c>
      <c r="D48" s="20" t="s">
        <v>52</v>
      </c>
      <c r="E48" s="11">
        <v>16879</v>
      </c>
      <c r="F48" s="18"/>
    </row>
    <row r="49" spans="1:6" x14ac:dyDescent="0.3">
      <c r="A49" s="19">
        <v>36</v>
      </c>
      <c r="B49" s="20" t="s">
        <v>57</v>
      </c>
      <c r="C49" s="20">
        <v>31</v>
      </c>
      <c r="D49" s="20" t="s">
        <v>52</v>
      </c>
      <c r="E49" s="11">
        <v>22916</v>
      </c>
      <c r="F49" s="18"/>
    </row>
    <row r="50" spans="1:6" x14ac:dyDescent="0.3">
      <c r="A50" s="19">
        <v>51</v>
      </c>
      <c r="B50" s="20" t="s">
        <v>58</v>
      </c>
      <c r="C50" s="20">
        <v>31</v>
      </c>
      <c r="D50" s="20" t="s">
        <v>52</v>
      </c>
      <c r="E50" s="11">
        <v>1212</v>
      </c>
      <c r="F50" s="18"/>
    </row>
    <row r="51" spans="1:6" x14ac:dyDescent="0.3">
      <c r="A51" s="19">
        <v>52</v>
      </c>
      <c r="B51" s="20" t="s">
        <v>59</v>
      </c>
      <c r="C51" s="20">
        <v>31</v>
      </c>
      <c r="D51" s="20" t="s">
        <v>52</v>
      </c>
      <c r="E51" s="11">
        <v>1137</v>
      </c>
      <c r="F51" s="18"/>
    </row>
    <row r="52" spans="1:6" x14ac:dyDescent="0.3">
      <c r="A52" s="19">
        <v>53</v>
      </c>
      <c r="B52" s="20" t="s">
        <v>60</v>
      </c>
      <c r="C52" s="20">
        <v>31</v>
      </c>
      <c r="D52" s="20" t="s">
        <v>52</v>
      </c>
      <c r="E52" s="11">
        <v>1505</v>
      </c>
      <c r="F52" s="18"/>
    </row>
    <row r="53" spans="1:6" x14ac:dyDescent="0.3">
      <c r="A53" s="19">
        <v>61</v>
      </c>
      <c r="B53" s="20" t="s">
        <v>61</v>
      </c>
      <c r="C53" s="20">
        <v>31</v>
      </c>
      <c r="D53" s="20" t="s">
        <v>52</v>
      </c>
      <c r="E53" s="11">
        <v>2270</v>
      </c>
      <c r="F53" s="18"/>
    </row>
    <row r="54" spans="1:6" x14ac:dyDescent="0.3">
      <c r="A54" s="19">
        <v>62</v>
      </c>
      <c r="B54" s="20" t="s">
        <v>62</v>
      </c>
      <c r="C54" s="20">
        <v>31</v>
      </c>
      <c r="D54" s="20" t="s">
        <v>52</v>
      </c>
      <c r="E54" s="11">
        <v>355</v>
      </c>
      <c r="F54" s="18"/>
    </row>
    <row r="55" spans="1:6" x14ac:dyDescent="0.3">
      <c r="A55" s="19">
        <v>63</v>
      </c>
      <c r="B55" s="20" t="s">
        <v>63</v>
      </c>
      <c r="C55" s="20">
        <v>31</v>
      </c>
      <c r="D55" s="20" t="s">
        <v>52</v>
      </c>
      <c r="E55" s="11">
        <v>835</v>
      </c>
      <c r="F55" s="18"/>
    </row>
    <row r="56" spans="1:6" x14ac:dyDescent="0.3">
      <c r="A56" s="19">
        <v>64</v>
      </c>
      <c r="B56" s="20" t="s">
        <v>64</v>
      </c>
      <c r="C56" s="20">
        <v>31</v>
      </c>
      <c r="D56" s="20" t="s">
        <v>52</v>
      </c>
      <c r="E56" s="11">
        <v>688</v>
      </c>
      <c r="F56" s="18"/>
    </row>
    <row r="57" spans="1:6" x14ac:dyDescent="0.3">
      <c r="A57" s="19">
        <v>65</v>
      </c>
      <c r="B57" s="20" t="s">
        <v>65</v>
      </c>
      <c r="C57" s="20">
        <v>31</v>
      </c>
      <c r="D57" s="20" t="s">
        <v>52</v>
      </c>
      <c r="E57" s="11">
        <v>0</v>
      </c>
      <c r="F57" s="18"/>
    </row>
    <row r="58" spans="1:6" x14ac:dyDescent="0.3">
      <c r="A58" s="19">
        <v>71</v>
      </c>
      <c r="B58" s="20" t="s">
        <v>66</v>
      </c>
      <c r="C58" s="20">
        <v>31</v>
      </c>
      <c r="D58" s="20" t="s">
        <v>52</v>
      </c>
      <c r="E58" s="11">
        <v>618</v>
      </c>
      <c r="F58" s="18"/>
    </row>
    <row r="59" spans="1:6" x14ac:dyDescent="0.3">
      <c r="A59" s="19">
        <v>72</v>
      </c>
      <c r="B59" s="20" t="s">
        <v>67</v>
      </c>
      <c r="C59" s="20">
        <v>31</v>
      </c>
      <c r="D59" s="20" t="s">
        <v>52</v>
      </c>
      <c r="E59" s="11">
        <v>35</v>
      </c>
      <c r="F59" s="18"/>
    </row>
    <row r="60" spans="1:6" x14ac:dyDescent="0.3">
      <c r="A60" s="19">
        <v>73</v>
      </c>
      <c r="B60" s="20" t="s">
        <v>68</v>
      </c>
      <c r="C60" s="20">
        <v>31</v>
      </c>
      <c r="D60" s="20" t="s">
        <v>52</v>
      </c>
      <c r="E60" s="11">
        <v>2443</v>
      </c>
      <c r="F60" s="18"/>
    </row>
    <row r="61" spans="1:6" x14ac:dyDescent="0.3">
      <c r="A61" s="19">
        <v>74</v>
      </c>
      <c r="B61" s="20" t="s">
        <v>69</v>
      </c>
      <c r="C61" s="20">
        <v>31</v>
      </c>
      <c r="D61" s="20" t="s">
        <v>52</v>
      </c>
      <c r="E61" s="11">
        <v>112</v>
      </c>
      <c r="F61" s="18"/>
    </row>
    <row r="62" spans="1:6" x14ac:dyDescent="0.3">
      <c r="A62" s="19">
        <v>75</v>
      </c>
      <c r="B62" s="20" t="s">
        <v>70</v>
      </c>
      <c r="C62" s="20">
        <v>31</v>
      </c>
      <c r="D62" s="20" t="s">
        <v>52</v>
      </c>
      <c r="E62" s="11">
        <v>135</v>
      </c>
      <c r="F62" s="18"/>
    </row>
    <row r="63" spans="1:6" x14ac:dyDescent="0.3">
      <c r="A63" s="19">
        <v>76</v>
      </c>
      <c r="B63" s="20" t="s">
        <v>71</v>
      </c>
      <c r="C63" s="20">
        <v>31</v>
      </c>
      <c r="D63" s="20" t="s">
        <v>52</v>
      </c>
      <c r="E63" s="11">
        <v>39</v>
      </c>
      <c r="F63" s="18"/>
    </row>
    <row r="64" spans="1:6" x14ac:dyDescent="0.3">
      <c r="A64" s="19">
        <v>81</v>
      </c>
      <c r="B64" s="20" t="s">
        <v>72</v>
      </c>
      <c r="C64" s="20">
        <v>31</v>
      </c>
      <c r="D64" s="20" t="s">
        <v>52</v>
      </c>
      <c r="E64" s="11">
        <v>616</v>
      </c>
      <c r="F64" s="18"/>
    </row>
    <row r="65" spans="1:6" x14ac:dyDescent="0.3">
      <c r="A65" s="19">
        <v>82</v>
      </c>
      <c r="B65" s="20" t="s">
        <v>73</v>
      </c>
      <c r="C65" s="20">
        <v>31</v>
      </c>
      <c r="D65" s="20" t="s">
        <v>52</v>
      </c>
      <c r="E65" s="11">
        <v>242</v>
      </c>
      <c r="F65" s="18"/>
    </row>
    <row r="66" spans="1:6" x14ac:dyDescent="0.3">
      <c r="A66" s="19">
        <v>91</v>
      </c>
      <c r="B66" s="20" t="s">
        <v>74</v>
      </c>
      <c r="C66" s="20">
        <v>31</v>
      </c>
      <c r="D66" s="20" t="s">
        <v>52</v>
      </c>
      <c r="E66" s="11">
        <v>122</v>
      </c>
      <c r="F66" s="18"/>
    </row>
    <row r="67" spans="1:6" x14ac:dyDescent="0.3">
      <c r="A67" s="19">
        <v>93</v>
      </c>
      <c r="B67" s="20" t="s">
        <v>75</v>
      </c>
      <c r="C67" s="20">
        <v>31</v>
      </c>
      <c r="D67" s="20" t="s">
        <v>52</v>
      </c>
      <c r="E67" s="11">
        <v>862</v>
      </c>
      <c r="F67" s="18"/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PANDUAN</vt:lpstr>
      <vt:lpstr>METADATA_SOURCES</vt:lpstr>
      <vt:lpstr>CODEBOOK</vt:lpstr>
      <vt:lpstr>FLOW_OD</vt:lpstr>
      <vt:lpstr>MULTIVARIAT_PROVINSI</vt:lpstr>
      <vt:lpstr>GEO_KABKOTA</vt:lpstr>
      <vt:lpstr>KOMUTER_JABODETABEK</vt:lpstr>
      <vt:lpstr>FLOW_JAKARTA</vt:lpstr>
      <vt:lpstr>NETWORK_EDGES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 Han</cp:lastModifiedBy>
  <dcterms:created xsi:type="dcterms:W3CDTF">2026-10-02T14:38:18Z</dcterms:created>
  <dcterms:modified xsi:type="dcterms:W3CDTF">2026-10-04T15:14:51Z</dcterms:modified>
</cp:coreProperties>
</file>